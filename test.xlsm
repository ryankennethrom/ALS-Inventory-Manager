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worksheets/wsSortMap1.xml" ContentType="application/vnd.ms-excel.wsSortMap+xml"/>
  <Override PartName="/xl/worksheets/wsSortMap2.xml" ContentType="application/vnd.ms-excel.wsSortMap+xml"/>
  <Override PartName="/xl/worksheets/wsSortMap3.xml" ContentType="application/vnd.ms-excel.wsSortMap+xml"/>
  <Override PartName="/xl/worksheets/wsSortMap4.xml" ContentType="application/vnd.ms-excel.wsSortMap+xml"/>
  <Override PartName="/xl/worksheets/wsSortMap5.xml" ContentType="application/vnd.ms-excel.wsSortMap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Z:\QA - NEW\Material Log\"/>
    </mc:Choice>
  </mc:AlternateContent>
  <xr:revisionPtr revIDLastSave="0" documentId="13_ncr:1_{6D304035-E21C-49F0-A0B8-362D19735E52}" xr6:coauthVersionLast="47" xr6:coauthVersionMax="47" xr10:uidLastSave="{00000000-0000-0000-0000-000000000000}"/>
  <bookViews>
    <workbookView xWindow="2573" yWindow="2573" windowWidth="21600" windowHeight="11332" xr2:uid="{00000000-000D-0000-FFFF-FFFF00000000}"/>
  </bookViews>
  <sheets>
    <sheet name="Sheet1" sheetId="1" r:id="rId1"/>
    <sheet name="Receive" sheetId="2" state="hidden" r:id="rId2"/>
    <sheet name="Usage" sheetId="3" r:id="rId3"/>
    <sheet name="Product_Manager" sheetId="4" r:id="rId4"/>
    <sheet name="Inventory_Detailed" sheetId="5" r:id="rId5"/>
    <sheet name="Inventory" sheetId="6" r:id="rId6"/>
    <sheet name="Inventory_Display_Consumable" sheetId="7" r:id="rId7"/>
    <sheet name="Inventory_Display_nonConsumable" sheetId="8" state="hidden" r:id="rId8"/>
    <sheet name="Inventory_Detailed_Display" sheetId="9" r:id="rId9"/>
    <sheet name="Product_Display" sheetId="10" r:id="rId10"/>
    <sheet name="Reorder_Display" sheetId="11" state="hidden" r:id="rId11"/>
    <sheet name="OutofStock_Display" sheetId="12" state="hidden" r:id="rId12"/>
    <sheet name="Barcode" sheetId="13" r:id="rId13"/>
    <sheet name="Emergency" sheetId="14" r:id="rId14"/>
  </sheets>
  <definedNames>
    <definedName name="_xlnm._FilterDatabase" localSheetId="5" hidden="1">Inventory!$A$1:$M$225</definedName>
    <definedName name="_xlnm._FilterDatabase" localSheetId="4" hidden="1">Inventory_Detailed!$A$1:$N$301</definedName>
    <definedName name="_xlnm._FilterDatabase" localSheetId="3" hidden="1">Product_Manager!$A$1:$M$122</definedName>
    <definedName name="_xlnm._FilterDatabase" localSheetId="1" hidden="1">Receive!$B$1:$B$87</definedName>
    <definedName name="Z_02039272_7FD5_4019_A240_E6879B0B07CD_.wvu.FilterData" localSheetId="5" hidden="1">Inventory!$A$1:$M$225</definedName>
    <definedName name="Z_02039272_7FD5_4019_A240_E6879B0B07CD_.wvu.FilterData" localSheetId="4" hidden="1">Inventory_Detailed!$A$1:$N$57</definedName>
    <definedName name="Z_02039272_7FD5_4019_A240_E6879B0B07CD_.wvu.FilterData" localSheetId="1" hidden="1">Receive!$B$1:$B$87</definedName>
    <definedName name="Z_09524CED_E520_4111_9337_96B8F46FA553_.wvu.FilterData" localSheetId="5" hidden="1">Inventory!$A$1:$M$225</definedName>
    <definedName name="Z_09524CED_E520_4111_9337_96B8F46FA553_.wvu.FilterData" localSheetId="4" hidden="1">Inventory_Detailed!$A$1:$N$72</definedName>
    <definedName name="Z_0AF6EC46_4CB3_49ED_9910_D9E7DF16936A_.wvu.FilterData" localSheetId="5" hidden="1">Inventory!$A$1:$M$225</definedName>
    <definedName name="Z_0AF6EC46_4CB3_49ED_9910_D9E7DF16936A_.wvu.FilterData" localSheetId="4" hidden="1">Inventory_Detailed!$A$1:$N$111</definedName>
    <definedName name="Z_1534FD95_11EE_439B_B520_E30AA850DB9A_.wvu.FilterData" localSheetId="5" hidden="1">Inventory!$A$1:$M$225</definedName>
    <definedName name="Z_1534FD95_11EE_439B_B520_E30AA850DB9A_.wvu.FilterData" localSheetId="4" hidden="1">Inventory_Detailed!$A$1:$N$67</definedName>
    <definedName name="Z_1534FD95_11EE_439B_B520_E30AA850DB9A_.wvu.FilterData" localSheetId="1" hidden="1">Receive!$B$1:$B$87</definedName>
    <definedName name="Z_17FF3546_F7CD_4D84_BC4F_8D9EDF0DEAB8_.wvu.FilterData" localSheetId="5" hidden="1">Inventory!$A$1:$M$225</definedName>
    <definedName name="Z_1D1A70A2_06DB_45D1_B932_907F3C485D4E_.wvu.FilterData" localSheetId="5" hidden="1">Inventory!$A$1:$M$225</definedName>
    <definedName name="Z_1D1A70A2_06DB_45D1_B932_907F3C485D4E_.wvu.FilterData" localSheetId="4" hidden="1">Inventory_Detailed!$A$1:$N$66</definedName>
    <definedName name="Z_1D2E812A_0B42_461C_8924_EB10B3427167_.wvu.FilterData" localSheetId="5" hidden="1">Inventory!$A$1:$M$225</definedName>
    <definedName name="Z_2D2B621C_058E_46EB_9CF5_14893A0BD36D_.wvu.FilterData" localSheetId="5" hidden="1">Inventory!$A$1:$M$225</definedName>
    <definedName name="Z_2D2B621C_058E_46EB_9CF5_14893A0BD36D_.wvu.FilterData" localSheetId="4" hidden="1">Inventory_Detailed!$A$1:$N$55</definedName>
    <definedName name="Z_2D7AA37D_8C06_47FC_8F44_3FA6E78D04F2_.wvu.FilterData" localSheetId="5" hidden="1">Inventory!$A$1:$M$225</definedName>
    <definedName name="Z_2D7AA37D_8C06_47FC_8F44_3FA6E78D04F2_.wvu.FilterData" localSheetId="4" hidden="1">Inventory_Detailed!$A$1:$N$57</definedName>
    <definedName name="Z_2D7AA37D_8C06_47FC_8F44_3FA6E78D04F2_.wvu.FilterData" localSheetId="3" hidden="1">Product_Manager!$A$1:$M$106</definedName>
    <definedName name="Z_2D7AA37D_8C06_47FC_8F44_3FA6E78D04F2_.wvu.FilterData" localSheetId="1" hidden="1">Receive!$B$1:$B$87</definedName>
    <definedName name="Z_343A603E_5515_4E1A_BEA2_09730DE57121_.wvu.FilterData" localSheetId="5" hidden="1">Inventory!$A$1:$M$225</definedName>
    <definedName name="Z_343A603E_5515_4E1A_BEA2_09730DE57121_.wvu.FilterData" localSheetId="4" hidden="1">Inventory_Detailed!$A$1:$N$77</definedName>
    <definedName name="Z_343A603E_5515_4E1A_BEA2_09730DE57121_.wvu.FilterData" localSheetId="1" hidden="1">Receive!$B$1:$B$87</definedName>
    <definedName name="Z_36DFAF6C_8121_4C57_A7DE_E887DF2AF068_.wvu.FilterData" localSheetId="5" hidden="1">Inventory!$A$1:$M$225</definedName>
    <definedName name="Z_3C127A43_AD61_4EED_B1C9_14DB174C9683_.wvu.FilterData" localSheetId="5" hidden="1">Inventory!$A$1:$M$225</definedName>
    <definedName name="Z_3C127A43_AD61_4EED_B1C9_14DB174C9683_.wvu.FilterData" localSheetId="4" hidden="1">Inventory_Detailed!$A$1:$N$88</definedName>
    <definedName name="Z_3C127A43_AD61_4EED_B1C9_14DB174C9683_.wvu.FilterData" localSheetId="1" hidden="1">Receive!$B$1:$B$87</definedName>
    <definedName name="Z_3E2817CD_599A_489B_AE1A_C59766520448_.wvu.FilterData" localSheetId="5" hidden="1">Inventory!$A$1:$M$225</definedName>
    <definedName name="Z_419FB66E_2BF8_4321_8FDF_2E1E3CC0AE25_.wvu.FilterData" localSheetId="5" hidden="1">Inventory!$A$1:$M$225</definedName>
    <definedName name="Z_429893CA_A2DB_4E31_ACDB_D004BD65C85C_.wvu.FilterData" localSheetId="5" hidden="1">Inventory!$A$1:$M$225</definedName>
    <definedName name="Z_44A9B65A_6E92_40CA_8CE3_1A5DCC9A018C_.wvu.FilterData" localSheetId="5" hidden="1">Inventory!$A$1:$M$225</definedName>
    <definedName name="Z_44A9B65A_6E92_40CA_8CE3_1A5DCC9A018C_.wvu.FilterData" localSheetId="4" hidden="1">Inventory_Detailed!$A$1:$N$43</definedName>
    <definedName name="Z_44A9B65A_6E92_40CA_8CE3_1A5DCC9A018C_.wvu.FilterData" localSheetId="3" hidden="1">Product_Manager!$A$1:$M$104</definedName>
    <definedName name="Z_44A9B65A_6E92_40CA_8CE3_1A5DCC9A018C_.wvu.FilterData" localSheetId="1" hidden="1">Receive!$B$1:$B$87</definedName>
    <definedName name="Z_4519E29E_F5FD_41A2_AB68_ED7EEF3B13DF_.wvu.FilterData" localSheetId="5" hidden="1">Inventory!$A$1:$L$225</definedName>
    <definedName name="Z_4519E29E_F5FD_41A2_AB68_ED7EEF3B13DF_.wvu.FilterData" localSheetId="4" hidden="1">Inventory_Detailed!$A$1:$N$40</definedName>
    <definedName name="Z_4519E29E_F5FD_41A2_AB68_ED7EEF3B13DF_.wvu.FilterData" localSheetId="1" hidden="1">Receive!$B$1:$B$87</definedName>
    <definedName name="Z_4E7BA42A_7BA3_4051_9602_B396FA907E87_.wvu.FilterData" localSheetId="5" hidden="1">Inventory!$A$1:$M$225</definedName>
    <definedName name="Z_4E8C069B_AF48_4C7B_BDDA_E7FE42B49E2E_.wvu.FilterData" localSheetId="5" hidden="1">Inventory!$A$1:$M$225</definedName>
    <definedName name="Z_4F1DDEB2_024E_43E3_A885_BBAF0D31BA46_.wvu.FilterData" localSheetId="5" hidden="1">Inventory!$A$1:$M$225</definedName>
    <definedName name="Z_56600128_D063_43D6_A4EE_337612C5C016_.wvu.FilterData" localSheetId="5" hidden="1">Inventory!$A$1:$M$225</definedName>
    <definedName name="Z_56600128_D063_43D6_A4EE_337612C5C016_.wvu.FilterData" localSheetId="4" hidden="1">Inventory_Detailed!$A$1:$N$84</definedName>
    <definedName name="Z_5683BC1F_8283_4C7A_B1AE_C8D1D7694ACB_.wvu.FilterData" localSheetId="5" hidden="1">Inventory!$A$1:$M$225</definedName>
    <definedName name="Z_5683BC1F_8283_4C7A_B1AE_C8D1D7694ACB_.wvu.FilterData" localSheetId="4" hidden="1">Inventory_Detailed!$A$1:$N$73</definedName>
    <definedName name="Z_5683BC1F_8283_4C7A_B1AE_C8D1D7694ACB_.wvu.FilterData" localSheetId="3" hidden="1">Product_Manager!$A$1:$M$108</definedName>
    <definedName name="Z_5683BC1F_8283_4C7A_B1AE_C8D1D7694ACB_.wvu.FilterData" localSheetId="1" hidden="1">Receive!$B$1:$B$87</definedName>
    <definedName name="Z_5EB20B55_7D45_4384_BBE0_4577D05251C7_.wvu.FilterData" localSheetId="5" hidden="1">Inventory!$A$1:$M$225</definedName>
    <definedName name="Z_5EB20B55_7D45_4384_BBE0_4577D05251C7_.wvu.FilterData" localSheetId="4" hidden="1">Inventory_Detailed!$A$1:$N$110</definedName>
    <definedName name="Z_6B865317_1BBF_4B97_88CB_E9F409E3C6AA_.wvu.FilterData" localSheetId="5" hidden="1">Inventory!$A$1:$M$225</definedName>
    <definedName name="Z_6B865317_1BBF_4B97_88CB_E9F409E3C6AA_.wvu.FilterData" localSheetId="4" hidden="1">Inventory_Detailed!$A$1:$N$73</definedName>
    <definedName name="Z_6B865317_1BBF_4B97_88CB_E9F409E3C6AA_.wvu.FilterData" localSheetId="1" hidden="1">Receive!$B$1:$B$87</definedName>
    <definedName name="Z_707185EF_0DE3_4AEB_A68B_52535CA988D3_.wvu.FilterData" localSheetId="5" hidden="1">Inventory!$A$1:$M$225</definedName>
    <definedName name="Z_707185EF_0DE3_4AEB_A68B_52535CA988D3_.wvu.FilterData" localSheetId="4" hidden="1">Inventory_Detailed!$A$1:$N$43</definedName>
    <definedName name="Z_707185EF_0DE3_4AEB_A68B_52535CA988D3_.wvu.FilterData" localSheetId="1" hidden="1">Receive!$B$1:$B$87</definedName>
    <definedName name="Z_79530C52_CC54_4302_B8B2_469D83B72306_.wvu.FilterData" localSheetId="5" hidden="1">Inventory!$A$1:$M$225</definedName>
    <definedName name="Z_79530C52_CC54_4302_B8B2_469D83B72306_.wvu.FilterData" localSheetId="4" hidden="1">Inventory_Detailed!$A$1:$N$77</definedName>
    <definedName name="Z_79530C52_CC54_4302_B8B2_469D83B72306_.wvu.FilterData" localSheetId="1" hidden="1">Receive!$B$1:$B$87</definedName>
    <definedName name="Z_7E78BDE1_D199_4E9E_8918_FCD15D24B7AD_.wvu.FilterData" localSheetId="5" hidden="1">Inventory!$A$1:$M$225</definedName>
    <definedName name="Z_7E78BDE1_D199_4E9E_8918_FCD15D24B7AD_.wvu.FilterData" localSheetId="4" hidden="1">Inventory_Detailed!$A$1:$N$93</definedName>
    <definedName name="Z_7E78BDE1_D199_4E9E_8918_FCD15D24B7AD_.wvu.FilterData" localSheetId="3" hidden="1">Product_Manager!$A$1:$M$110</definedName>
    <definedName name="Z_7E78BDE1_D199_4E9E_8918_FCD15D24B7AD_.wvu.FilterData" localSheetId="1" hidden="1">Receive!$B$1:$B$87</definedName>
    <definedName name="Z_7F6AAB33_EFA9_426E_B903_42DBCAE18267_.wvu.FilterData" localSheetId="5" hidden="1">Inventory!$A$1:$M$225</definedName>
    <definedName name="Z_7F6AAB33_EFA9_426E_B903_42DBCAE18267_.wvu.FilterData" localSheetId="4" hidden="1">Inventory_Detailed!$A$1:$N$114</definedName>
    <definedName name="Z_7F6AAB33_EFA9_426E_B903_42DBCAE18267_.wvu.FilterData" localSheetId="3" hidden="1">Product_Manager!$A$1:$M$117</definedName>
    <definedName name="Z_7F6AAB33_EFA9_426E_B903_42DBCAE18267_.wvu.FilterData" localSheetId="1" hidden="1">Receive!$B$1:$B$87</definedName>
    <definedName name="Z_84EE6537_63A1_432D_A89B_B69A217E311F_.wvu.FilterData" localSheetId="5" hidden="1">Inventory!$A$1:$M$225</definedName>
    <definedName name="Z_84EE6537_63A1_432D_A89B_B69A217E311F_.wvu.FilterData" localSheetId="4" hidden="1">Inventory_Detailed!$A$1:$N$115</definedName>
    <definedName name="Z_84EE6537_63A1_432D_A89B_B69A217E311F_.wvu.FilterData" localSheetId="1" hidden="1">Receive!$B$1:$B$87</definedName>
    <definedName name="Z_8907C230_47EA_41D9_9AC5_4EE6D3087904_.wvu.FilterData" localSheetId="5" hidden="1">Inventory!$A$1:$M$225</definedName>
    <definedName name="Z_8907C230_47EA_41D9_9AC5_4EE6D3087904_.wvu.FilterData" localSheetId="4" hidden="1">Inventory_Detailed!$A$1:$N$64</definedName>
    <definedName name="Z_9C8ADCBA_1E8C_4961_B877_3E192DBDFA7A_.wvu.FilterData" localSheetId="5" hidden="1">Inventory!$A$1:$M$225</definedName>
    <definedName name="Z_9C8ADCBA_1E8C_4961_B877_3E192DBDFA7A_.wvu.FilterData" localSheetId="4" hidden="1">Inventory_Detailed!$A$1:$N$116</definedName>
    <definedName name="Z_9C8ADCBA_1E8C_4961_B877_3E192DBDFA7A_.wvu.FilterData" localSheetId="3" hidden="1">Product_Manager!$A$1:$M$118</definedName>
    <definedName name="Z_9C8ADCBA_1E8C_4961_B877_3E192DBDFA7A_.wvu.FilterData" localSheetId="1" hidden="1">Receive!$B$1:$B$87</definedName>
    <definedName name="Z_A3C8E65F_9A40_46FB_A8C4_2B9C86637916_.wvu.FilterData" localSheetId="5" hidden="1">Inventory!$A$1:$L$225</definedName>
    <definedName name="Z_A3C8E65F_9A40_46FB_A8C4_2B9C86637916_.wvu.FilterData" localSheetId="4" hidden="1">Inventory_Detailed!$A$1:$N$40</definedName>
    <definedName name="Z_A3C8E65F_9A40_46FB_A8C4_2B9C86637916_.wvu.FilterData" localSheetId="3" hidden="1">Product_Manager!$A$1:$M$103</definedName>
    <definedName name="Z_B521DC31_5BE0_4E53_94A7_6BE8ACF023F5_.wvu.FilterData" localSheetId="5" hidden="1">Inventory!$A$1:$M$225</definedName>
    <definedName name="Z_D1028A43_FA05_4C75_9782_8DD473C1440C_.wvu.FilterData" localSheetId="5" hidden="1">Inventory!$A$1:$M$225</definedName>
    <definedName name="Z_D6CFCF71_9EF4_4B80_B85C_3A85BE1FAFC4_.wvu.FilterData" localSheetId="5" hidden="1">Inventory!$A$1:$M$225</definedName>
    <definedName name="Z_D6CFCF71_9EF4_4B80_B85C_3A85BE1FAFC4_.wvu.FilterData" localSheetId="4" hidden="1">Inventory_Detailed!$A$1:$N$73</definedName>
    <definedName name="Z_D6CFCF71_9EF4_4B80_B85C_3A85BE1FAFC4_.wvu.FilterData" localSheetId="1" hidden="1">Receive!$B$1:$B$87</definedName>
    <definedName name="Z_DEDE48FD_B168_45DC_8A07_95BC5A0E5EF5_.wvu.FilterData" localSheetId="5" hidden="1">Inventory!$A$1:$M$225</definedName>
    <definedName name="Z_E308D4C3_4947_4D89_B1D7_0EE5341EB7BB_.wvu.FilterData" localSheetId="5" hidden="1">Inventory!$A$1:$M$225</definedName>
    <definedName name="Z_EEF142C0_1170_4475_BF97_055CED367051_.wvu.FilterData" localSheetId="5" hidden="1">Inventory!$A$1:$M$225</definedName>
    <definedName name="Z_EEF142C0_1170_4475_BF97_055CED367051_.wvu.FilterData" localSheetId="4" hidden="1">Inventory_Detailed!$A$1:$N$101</definedName>
    <definedName name="Z_EEF142C0_1170_4475_BF97_055CED367051_.wvu.FilterData" localSheetId="1" hidden="1">Receive!$B$1:$B$87</definedName>
    <definedName name="Z_F041A81B_9989_4AC7_8D8B_925C09CA2FC6_.wvu.FilterData" localSheetId="5" hidden="1">Inventory!$A$1:$M$225</definedName>
    <definedName name="Z_F9F65A97_3743_456C_9116_CBEC9524C784_.wvu.FilterData" localSheetId="5" hidden="1">Inventory!$A$1:$M$225</definedName>
    <definedName name="Z_F9F65A97_3743_456C_9116_CBEC9524C784_.wvu.FilterData" localSheetId="1" hidden="1">Receive!$B$1:$B$87</definedName>
    <definedName name="Z_FAE85935_D924_4911_BCF0_195829061C8F_.wvu.FilterData" localSheetId="5" hidden="1">Inventory!$A$1:$M$225</definedName>
    <definedName name="Z_FAE85935_D924_4911_BCF0_195829061C8F_.wvu.FilterData" localSheetId="4" hidden="1">Inventory_Detailed!$A$1:$N$82</definedName>
    <definedName name="Z_FAE85935_D924_4911_BCF0_195829061C8F_.wvu.FilterData" localSheetId="1" hidden="1">Receive!$B$1:$B$87</definedName>
  </definedNames>
  <calcPr calcId="191029"/>
  <customWorkbookViews>
    <customWorkbookView name="Candy Vo - Personal View" guid="{2D7AA37D-8C06-47FC-8F44-3FA6E78D04F2}" mergeInterval="0" personalView="1" maximized="1" xWindow="-8" yWindow="-8" windowWidth="1936" windowHeight="1168" activeSheetId="1"/>
    <customWorkbookView name="ALEDM LAB01 - Personal View" guid="{9C8ADCBA-1E8C-4961-B877-3E192DBDFA7A}" mergeInterval="0" personalView="1" xWindow="280" yWindow="248" windowWidth="1440" windowHeight="759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2" i="4" l="1"/>
  <c r="A16" i="4"/>
  <c r="A15" i="4"/>
  <c r="A99" i="4" l="1"/>
  <c r="A75" i="4" l="1"/>
  <c r="A61" i="4" l="1"/>
  <c r="F213" i="3" l="1"/>
  <c r="F214" i="3"/>
  <c r="F215" i="3"/>
  <c r="F216" i="3"/>
  <c r="F217" i="3"/>
  <c r="F218" i="3"/>
  <c r="F220" i="3"/>
  <c r="F221" i="3"/>
  <c r="F223" i="3"/>
  <c r="J78" i="6" l="1"/>
  <c r="A120" i="4"/>
  <c r="A119" i="4"/>
  <c r="A118" i="4"/>
  <c r="A117" i="4"/>
  <c r="A116" i="4"/>
  <c r="A115" i="4"/>
  <c r="A39" i="4" l="1"/>
  <c r="A114" i="4" l="1"/>
  <c r="A38" i="4" l="1"/>
  <c r="A14" i="4" l="1"/>
  <c r="E74" i="6" l="1"/>
  <c r="A98" i="4" l="1"/>
  <c r="A106" i="4" l="1"/>
  <c r="J31" i="6" l="1"/>
  <c r="K31" i="6"/>
  <c r="K78" i="6"/>
  <c r="J4" i="6"/>
  <c r="K4" i="6"/>
  <c r="J41" i="6"/>
  <c r="K41" i="6"/>
  <c r="J7" i="6"/>
  <c r="K7" i="6"/>
  <c r="J40" i="6"/>
  <c r="K40" i="6"/>
  <c r="J96" i="6"/>
  <c r="K96" i="6"/>
  <c r="J77" i="6"/>
  <c r="K77" i="6"/>
  <c r="J75" i="6"/>
  <c r="K75" i="6"/>
  <c r="J61" i="6"/>
  <c r="K61" i="6"/>
  <c r="J3" i="6"/>
  <c r="K3" i="6"/>
  <c r="J82" i="6"/>
  <c r="K82" i="6"/>
  <c r="J67" i="6"/>
  <c r="K67" i="6"/>
  <c r="J64" i="6"/>
  <c r="K64" i="6"/>
  <c r="J53" i="6"/>
  <c r="K53" i="6"/>
  <c r="J33" i="6"/>
  <c r="K33" i="6"/>
  <c r="J65" i="6"/>
  <c r="K65" i="6"/>
  <c r="J69" i="6"/>
  <c r="K69" i="6"/>
  <c r="J20" i="6"/>
  <c r="K20" i="6"/>
  <c r="J8" i="6"/>
  <c r="K8" i="6"/>
  <c r="J89" i="6"/>
  <c r="K89" i="6"/>
  <c r="J27" i="6"/>
  <c r="K27" i="6"/>
  <c r="J38" i="6"/>
  <c r="K38" i="6"/>
  <c r="J48" i="6"/>
  <c r="K48" i="6"/>
  <c r="J14" i="6"/>
  <c r="K14" i="6"/>
  <c r="J94" i="6"/>
  <c r="K94" i="6"/>
  <c r="J15" i="6"/>
  <c r="K15" i="6"/>
  <c r="J28" i="6"/>
  <c r="K28" i="6"/>
  <c r="J54" i="6"/>
  <c r="K54" i="6"/>
  <c r="J43" i="6"/>
  <c r="K43" i="6"/>
  <c r="J6" i="6"/>
  <c r="K6" i="6"/>
  <c r="J80" i="6"/>
  <c r="K80" i="6"/>
  <c r="J55" i="6"/>
  <c r="K55" i="6"/>
  <c r="J9" i="6"/>
  <c r="K9" i="6"/>
  <c r="J93" i="6"/>
  <c r="K93" i="6"/>
  <c r="J101" i="6"/>
  <c r="K101" i="6"/>
  <c r="J66" i="6"/>
  <c r="K66" i="6"/>
  <c r="J32" i="6"/>
  <c r="K32" i="6"/>
  <c r="J70" i="6"/>
  <c r="K70" i="6"/>
  <c r="J79" i="6"/>
  <c r="K79" i="6"/>
  <c r="J11" i="6"/>
  <c r="K11" i="6"/>
  <c r="J87" i="6"/>
  <c r="K87" i="6"/>
  <c r="J86" i="6"/>
  <c r="K86" i="6"/>
  <c r="J95" i="6"/>
  <c r="K95" i="6"/>
  <c r="J98" i="6"/>
  <c r="K98" i="6"/>
  <c r="J90" i="6"/>
  <c r="K90" i="6"/>
  <c r="J92" i="6"/>
  <c r="K92" i="6"/>
  <c r="J100" i="6"/>
  <c r="K100" i="6"/>
  <c r="J81" i="6"/>
  <c r="K81" i="6"/>
  <c r="J30" i="6"/>
  <c r="K30" i="6"/>
  <c r="J103" i="6"/>
  <c r="K103" i="6"/>
  <c r="J97" i="6"/>
  <c r="K97" i="6"/>
  <c r="J102" i="6"/>
  <c r="K102" i="6"/>
  <c r="J104" i="6"/>
  <c r="K104" i="6"/>
  <c r="J106" i="6"/>
  <c r="K106" i="6"/>
  <c r="J107" i="6"/>
  <c r="K107" i="6"/>
  <c r="J56" i="6"/>
  <c r="K56" i="6"/>
  <c r="J105" i="6"/>
  <c r="K105" i="6"/>
  <c r="J10" i="6"/>
  <c r="K10" i="6"/>
  <c r="J36" i="6"/>
  <c r="K36" i="6"/>
  <c r="J108" i="6"/>
  <c r="K108" i="6"/>
  <c r="J71" i="6"/>
  <c r="K71" i="6"/>
  <c r="J35" i="6"/>
  <c r="K35" i="6"/>
  <c r="J109" i="6"/>
  <c r="K109" i="6"/>
  <c r="J110" i="6"/>
  <c r="K110" i="6"/>
  <c r="J57" i="6"/>
  <c r="K57" i="6"/>
  <c r="J111" i="6"/>
  <c r="K111" i="6"/>
  <c r="J58" i="6"/>
  <c r="K58" i="6"/>
  <c r="J112" i="6"/>
  <c r="K112" i="6"/>
  <c r="J25" i="6"/>
  <c r="K25" i="6"/>
  <c r="J44" i="6"/>
  <c r="K44" i="6"/>
  <c r="J42" i="6"/>
  <c r="K42" i="6"/>
  <c r="J46" i="6"/>
  <c r="K46" i="6"/>
  <c r="J91" i="6"/>
  <c r="K91" i="6"/>
  <c r="J21" i="6"/>
  <c r="K21" i="6"/>
  <c r="J113" i="6"/>
  <c r="K113" i="6"/>
  <c r="J114" i="6"/>
  <c r="K114" i="6"/>
  <c r="J5" i="6"/>
  <c r="K5" i="6"/>
  <c r="J99" i="6"/>
  <c r="K99" i="6"/>
  <c r="J72" i="6"/>
  <c r="K72" i="6"/>
  <c r="J115" i="6"/>
  <c r="K115" i="6"/>
  <c r="J22" i="6"/>
  <c r="K22" i="6"/>
  <c r="J59" i="6"/>
  <c r="K59" i="6"/>
  <c r="J16" i="6"/>
  <c r="K16" i="6"/>
  <c r="J26" i="6"/>
  <c r="K26" i="6"/>
  <c r="J2" i="6"/>
  <c r="K2" i="6"/>
  <c r="J116" i="6"/>
  <c r="K116" i="6"/>
  <c r="J17" i="6"/>
  <c r="K17" i="6"/>
  <c r="J85" i="6"/>
  <c r="K85" i="6"/>
  <c r="J18" i="6"/>
  <c r="K18" i="6"/>
  <c r="J117" i="6"/>
  <c r="K117" i="6"/>
  <c r="J118" i="6"/>
  <c r="K118" i="6"/>
  <c r="J119" i="6"/>
  <c r="K119" i="6"/>
  <c r="J19" i="6"/>
  <c r="K19" i="6"/>
  <c r="J120" i="6"/>
  <c r="K120" i="6"/>
  <c r="J121" i="6"/>
  <c r="K121" i="6"/>
  <c r="J122" i="6"/>
  <c r="K122" i="6"/>
  <c r="J123" i="6"/>
  <c r="K123" i="6"/>
  <c r="J60" i="6"/>
  <c r="K60" i="6"/>
  <c r="J124" i="6"/>
  <c r="K124" i="6"/>
  <c r="J125" i="6"/>
  <c r="K125" i="6"/>
  <c r="J126" i="6"/>
  <c r="K126" i="6"/>
  <c r="J127" i="6"/>
  <c r="K127" i="6"/>
  <c r="J128" i="6"/>
  <c r="K128" i="6"/>
  <c r="J129" i="6"/>
  <c r="K129" i="6"/>
  <c r="J13" i="6"/>
  <c r="K13" i="6"/>
  <c r="J62" i="6"/>
  <c r="K62" i="6"/>
  <c r="J73" i="6"/>
  <c r="K73" i="6"/>
  <c r="J39" i="6"/>
  <c r="K39" i="6"/>
  <c r="J74" i="6"/>
  <c r="K74" i="6"/>
  <c r="J12" i="6"/>
  <c r="K12" i="6"/>
  <c r="J76" i="6"/>
  <c r="K76" i="6"/>
  <c r="J37" i="6"/>
  <c r="K37" i="6"/>
  <c r="J83" i="6"/>
  <c r="K83" i="6"/>
  <c r="J29" i="6"/>
  <c r="K29" i="6"/>
  <c r="J49" i="6"/>
  <c r="K49" i="6"/>
  <c r="J50" i="6"/>
  <c r="K50" i="6"/>
  <c r="J51" i="6"/>
  <c r="K51" i="6"/>
  <c r="J23" i="6"/>
  <c r="K23" i="6"/>
  <c r="J24" i="6"/>
  <c r="K24" i="6"/>
  <c r="J52" i="6"/>
  <c r="K52" i="6"/>
  <c r="J45" i="6"/>
  <c r="K45" i="6"/>
  <c r="J88" i="6"/>
  <c r="K88" i="6"/>
  <c r="J47" i="6"/>
  <c r="K47" i="6"/>
  <c r="J68" i="6"/>
  <c r="K68" i="6"/>
  <c r="J63" i="6"/>
  <c r="K63" i="6"/>
  <c r="J130" i="6"/>
  <c r="K130" i="6"/>
  <c r="J131" i="6"/>
  <c r="K131" i="6"/>
  <c r="J132" i="6"/>
  <c r="K132" i="6"/>
  <c r="J133" i="6"/>
  <c r="K133" i="6"/>
  <c r="J134" i="6"/>
  <c r="K134" i="6"/>
  <c r="J135" i="6"/>
  <c r="K135" i="6"/>
  <c r="J136" i="6"/>
  <c r="K136" i="6"/>
  <c r="J137" i="6"/>
  <c r="K137" i="6"/>
  <c r="J138" i="6"/>
  <c r="K138" i="6"/>
  <c r="J139" i="6"/>
  <c r="K139" i="6"/>
  <c r="J140" i="6"/>
  <c r="K140" i="6"/>
  <c r="J141" i="6"/>
  <c r="K141" i="6"/>
  <c r="J142" i="6"/>
  <c r="K142" i="6"/>
  <c r="J143" i="6"/>
  <c r="K143" i="6"/>
  <c r="J144" i="6"/>
  <c r="K144" i="6"/>
  <c r="J145" i="6"/>
  <c r="K145" i="6"/>
  <c r="J146" i="6"/>
  <c r="K146" i="6"/>
  <c r="J147" i="6"/>
  <c r="K147" i="6"/>
  <c r="J148" i="6"/>
  <c r="K148" i="6"/>
  <c r="J149" i="6"/>
  <c r="K149" i="6"/>
  <c r="E13" i="6"/>
  <c r="E62" i="6"/>
  <c r="E73" i="6"/>
  <c r="E39" i="6"/>
  <c r="E12" i="6"/>
  <c r="E76" i="6"/>
  <c r="E37" i="6"/>
  <c r="E83" i="6"/>
  <c r="E29" i="6"/>
  <c r="E49" i="6"/>
  <c r="E50" i="6"/>
  <c r="E51" i="6"/>
  <c r="E23" i="6"/>
  <c r="E24" i="6"/>
  <c r="E52" i="6"/>
  <c r="E45" i="6"/>
  <c r="E88" i="6"/>
  <c r="E47" i="6"/>
  <c r="E68" i="6"/>
  <c r="E63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48" i="6"/>
  <c r="E14" i="6"/>
  <c r="E94" i="6"/>
  <c r="E15" i="6"/>
  <c r="E28" i="6"/>
  <c r="E54" i="6"/>
  <c r="E43" i="6"/>
  <c r="E6" i="6"/>
  <c r="E80" i="6"/>
  <c r="E55" i="6"/>
  <c r="E9" i="6"/>
  <c r="E93" i="6"/>
  <c r="E101" i="6"/>
  <c r="E66" i="6"/>
  <c r="E32" i="6"/>
  <c r="E70" i="6"/>
  <c r="E79" i="6"/>
  <c r="E11" i="6"/>
  <c r="E87" i="6"/>
  <c r="E86" i="6"/>
  <c r="E95" i="6"/>
  <c r="E98" i="6"/>
  <c r="E90" i="6"/>
  <c r="E92" i="6"/>
  <c r="E100" i="6"/>
  <c r="E81" i="6"/>
  <c r="E30" i="6"/>
  <c r="E103" i="6"/>
  <c r="E97" i="6"/>
  <c r="E102" i="6"/>
  <c r="E104" i="6"/>
  <c r="E106" i="6"/>
  <c r="E107" i="6"/>
  <c r="E56" i="6"/>
  <c r="E105" i="6"/>
  <c r="E10" i="6"/>
  <c r="E36" i="6"/>
  <c r="E108" i="6"/>
  <c r="E71" i="6"/>
  <c r="E35" i="6"/>
  <c r="E109" i="6"/>
  <c r="E110" i="6"/>
  <c r="E57" i="6"/>
  <c r="E111" i="6"/>
  <c r="E58" i="6"/>
  <c r="E112" i="6"/>
  <c r="E25" i="6"/>
  <c r="E44" i="6"/>
  <c r="E42" i="6"/>
  <c r="E46" i="6"/>
  <c r="E91" i="6"/>
  <c r="E21" i="6"/>
  <c r="E113" i="6"/>
  <c r="E114" i="6"/>
  <c r="E5" i="6"/>
  <c r="E99" i="6"/>
  <c r="E72" i="6"/>
  <c r="E115" i="6"/>
  <c r="E22" i="6"/>
  <c r="E59" i="6"/>
  <c r="E16" i="6"/>
  <c r="E26" i="6"/>
  <c r="E2" i="6"/>
  <c r="E116" i="6"/>
  <c r="E17" i="6"/>
  <c r="E85" i="6"/>
  <c r="E18" i="6"/>
  <c r="E117" i="6"/>
  <c r="E118" i="6"/>
  <c r="E119" i="6"/>
  <c r="E19" i="6"/>
  <c r="E120" i="6"/>
  <c r="E121" i="6"/>
  <c r="E122" i="6"/>
  <c r="E123" i="6"/>
  <c r="E60" i="6"/>
  <c r="E124" i="6"/>
  <c r="E125" i="6"/>
  <c r="E126" i="6"/>
  <c r="E127" i="6"/>
  <c r="E128" i="6"/>
  <c r="E129" i="6"/>
  <c r="E89" i="6"/>
  <c r="A97" i="4"/>
  <c r="A28" i="4" l="1"/>
  <c r="A103" i="4" l="1"/>
  <c r="A17" i="4"/>
  <c r="A50" i="4"/>
  <c r="A7" i="4"/>
  <c r="A51" i="4"/>
  <c r="A8" i="4"/>
  <c r="A63" i="4"/>
  <c r="A64" i="4"/>
  <c r="A42" i="4"/>
  <c r="A9" i="4"/>
  <c r="A2" i="4"/>
  <c r="A52" i="4"/>
  <c r="A104" i="4"/>
  <c r="A113" i="4"/>
  <c r="A65" i="4"/>
  <c r="A112" i="4"/>
  <c r="A53" i="4"/>
  <c r="A66" i="4"/>
  <c r="A121" i="4"/>
  <c r="A24" i="4"/>
  <c r="A108" i="4"/>
  <c r="A100" i="4"/>
  <c r="A67" i="4"/>
  <c r="A68" i="4"/>
  <c r="A69" i="4"/>
  <c r="A43" i="4"/>
  <c r="A109" i="4"/>
  <c r="A110" i="4"/>
  <c r="A35" i="4"/>
  <c r="A36" i="4"/>
  <c r="A105" i="4"/>
  <c r="A54" i="4"/>
  <c r="A55" i="4"/>
  <c r="A56" i="4"/>
  <c r="A44" i="4"/>
  <c r="A101" i="4"/>
  <c r="A45" i="4"/>
  <c r="A18" i="4"/>
  <c r="A57" i="4"/>
  <c r="A58" i="4"/>
  <c r="A31" i="4"/>
  <c r="A32" i="4"/>
  <c r="A33" i="4"/>
  <c r="A34" i="4"/>
  <c r="A70" i="4"/>
  <c r="A71" i="4"/>
  <c r="A19" i="4"/>
  <c r="A20" i="4"/>
  <c r="A72" i="4"/>
  <c r="A37" i="4"/>
  <c r="A59" i="4"/>
  <c r="A73" i="4"/>
  <c r="A3" i="4"/>
  <c r="A46" i="4"/>
  <c r="A74" i="4"/>
  <c r="A29" i="4"/>
  <c r="A21" i="4"/>
  <c r="A22" i="4"/>
  <c r="A23" i="4"/>
  <c r="A26" i="4"/>
  <c r="A27" i="4"/>
  <c r="A76" i="4"/>
  <c r="A77" i="4"/>
  <c r="A4" i="4"/>
  <c r="A78" i="4"/>
  <c r="A79" i="4"/>
  <c r="A80" i="4"/>
  <c r="A81" i="4"/>
  <c r="A82" i="4"/>
  <c r="A83" i="4"/>
  <c r="A84" i="4"/>
  <c r="A85" i="4"/>
  <c r="A30" i="4"/>
  <c r="A86" i="4"/>
  <c r="A25" i="4"/>
  <c r="A5" i="4"/>
  <c r="A11" i="4"/>
  <c r="A87" i="4"/>
  <c r="A111" i="4"/>
  <c r="A10" i="4"/>
  <c r="A47" i="4"/>
  <c r="A12" i="4"/>
  <c r="A60" i="4"/>
  <c r="A6" i="4"/>
  <c r="A102" i="4"/>
  <c r="A88" i="4"/>
  <c r="A89" i="4"/>
  <c r="A90" i="4"/>
  <c r="A122" i="4"/>
  <c r="A91" i="4"/>
  <c r="A48" i="4"/>
  <c r="A92" i="4"/>
  <c r="A49" i="4"/>
  <c r="A93" i="4"/>
  <c r="A94" i="4"/>
  <c r="A95" i="4"/>
  <c r="A96" i="4"/>
  <c r="K84" i="6" l="1"/>
  <c r="K34" i="6"/>
  <c r="J84" i="6"/>
  <c r="J34" i="6"/>
  <c r="E38" i="6" l="1"/>
  <c r="E33" i="6"/>
  <c r="E53" i="6"/>
  <c r="E61" i="6"/>
  <c r="E75" i="6"/>
  <c r="E69" i="6"/>
  <c r="E3" i="6"/>
  <c r="E40" i="6"/>
  <c r="E41" i="6"/>
  <c r="E8" i="6"/>
  <c r="E4" i="6"/>
  <c r="E77" i="6"/>
  <c r="E27" i="6"/>
  <c r="E64" i="6"/>
  <c r="E78" i="6"/>
  <c r="E65" i="6"/>
  <c r="E7" i="6"/>
  <c r="E20" i="6"/>
  <c r="E96" i="6"/>
  <c r="E67" i="6"/>
  <c r="E82" i="6"/>
  <c r="E34" i="6"/>
  <c r="E84" i="6"/>
  <c r="A107" i="4" l="1"/>
  <c r="A41" i="4"/>
  <c r="A40" i="4"/>
</calcChain>
</file>

<file path=xl/sharedStrings.xml><?xml version="1.0" encoding="utf-8"?>
<sst xmlns="http://schemas.openxmlformats.org/spreadsheetml/2006/main" count="5896" uniqueCount="1123">
  <si>
    <t>LOT</t>
    <phoneticPr fontId="1" type="noConversion"/>
  </si>
  <si>
    <t>Quantity</t>
    <phoneticPr fontId="1" type="noConversion"/>
  </si>
  <si>
    <t>Date Received</t>
    <phoneticPr fontId="1" type="noConversion"/>
  </si>
  <si>
    <t>Ini</t>
    <phoneticPr fontId="1" type="noConversion"/>
  </si>
  <si>
    <t>Product Name</t>
    <phoneticPr fontId="1" type="noConversion"/>
  </si>
  <si>
    <t>Date Opened</t>
    <phoneticPr fontId="1" type="noConversion"/>
  </si>
  <si>
    <t>Date Finished</t>
    <phoneticPr fontId="1" type="noConversion"/>
  </si>
  <si>
    <t>Date Expired</t>
    <phoneticPr fontId="1" type="noConversion"/>
  </si>
  <si>
    <t>Last updated</t>
    <phoneticPr fontId="1" type="noConversion"/>
  </si>
  <si>
    <t>No.</t>
    <phoneticPr fontId="1" type="noConversion"/>
  </si>
  <si>
    <t>Last Update date</t>
    <phoneticPr fontId="1" type="noConversion"/>
  </si>
  <si>
    <t>Product Name</t>
  </si>
  <si>
    <t>Quantity</t>
  </si>
  <si>
    <t>Last updated</t>
  </si>
  <si>
    <t>Serial</t>
    <phoneticPr fontId="1" type="noConversion"/>
  </si>
  <si>
    <t>Serial</t>
  </si>
  <si>
    <t>LOT</t>
  </si>
  <si>
    <t>Date Received</t>
  </si>
  <si>
    <t>Ini</t>
  </si>
  <si>
    <t>Date Expired</t>
  </si>
  <si>
    <t>Date Opened</t>
  </si>
  <si>
    <t>Date Finished</t>
  </si>
  <si>
    <t>Vendor #</t>
    <phoneticPr fontId="1" type="noConversion"/>
  </si>
  <si>
    <t>UOM</t>
    <phoneticPr fontId="1" type="noConversion"/>
  </si>
  <si>
    <t>Price$</t>
    <phoneticPr fontId="1" type="noConversion"/>
  </si>
  <si>
    <t>Item Description</t>
    <phoneticPr fontId="1" type="noConversion"/>
  </si>
  <si>
    <t>sorbent pad, 15 x 19" universal light cs/200</t>
  </si>
  <si>
    <t>glasses, safety visitors 99.9% uv box/10</t>
  </si>
  <si>
    <t>Desktop Thermal Transfer Labels 2x1/2"</t>
  </si>
  <si>
    <t>argon, oxygen 20% k size 2000psig 226ft3 cga 590</t>
  </si>
  <si>
    <t>hydranal coulomat AG, 1L</t>
  </si>
  <si>
    <t>OilExpress, 4 system liquid detergent 100g</t>
  </si>
  <si>
    <t>liner, injection pss fuel in oil pkg/5</t>
  </si>
  <si>
    <t>PartiStan super clean fluid 400ml</t>
  </si>
  <si>
    <t>partistan, 2806 400ml</t>
  </si>
  <si>
    <t>mineral spirits, solvent drum/161kg</t>
  </si>
  <si>
    <t>vial, headspace 21.75 x38mm 20mm 6mL pkg/100</t>
  </si>
  <si>
    <t>cap, 20mm blue crimp headsp 3mm tef septa pkg/100</t>
  </si>
  <si>
    <t>!tube, 17x100mm plastic conical Evergreen cs/1000</t>
  </si>
  <si>
    <t>!tube, 50ml centrifuge poly Simport cs/500</t>
  </si>
  <si>
    <t>chloroform, 20L</t>
  </si>
  <si>
    <t>kimwipes, 11.4 x 21.3 cm 280/pk</t>
  </si>
  <si>
    <t>pipette, 8ml trnsfer larg bulb polyethlyl cs/2500</t>
  </si>
  <si>
    <t>drive, dual z axis</t>
  </si>
  <si>
    <t>tubing and connector kit, drain pump</t>
  </si>
  <si>
    <t>air, compressed ultra zero</t>
  </si>
  <si>
    <t>toluene, 181kg/drum</t>
  </si>
  <si>
    <t>kerosene, A1 (K1) grade 16kg pail</t>
  </si>
  <si>
    <t>nebulizer, slurry U series 4ml/min</t>
  </si>
  <si>
    <t>tubing, black-black PVCSolva 2-stop 0.76mm pkg/12</t>
  </si>
  <si>
    <t>beaker, titration graduation 125ml pkg/500</t>
  </si>
  <si>
    <t>glove, nitrile 5mil blue powder free small bx/100</t>
  </si>
  <si>
    <t>glove, nitrile 5mil blue powder free medium bx/100</t>
  </si>
  <si>
    <t>Base Oil 75, cSt 500 ml</t>
  </si>
  <si>
    <t>acid number, (AN) std 3 mgKOH/g 50g</t>
  </si>
  <si>
    <t>cobalt, internal standard 6% 400g</t>
  </si>
  <si>
    <t>crackle test reference, 0.1% in motor oil 100mL</t>
  </si>
  <si>
    <t>spigot, quick action ppe nalgene</t>
  </si>
  <si>
    <t>wide bore oil disposable tips, 1000ul cs/2304</t>
  </si>
  <si>
    <t>hydrnl standard, 0.1% 1xset 10x4ml 34828R</t>
  </si>
  <si>
    <t>cap, crimp 11mm PTFE/Red Rubber alum/silv pkg 100</t>
  </si>
  <si>
    <t>injector, qz tapered 1.4 mm id</t>
  </si>
  <si>
    <t>cleaning solution, chromic-sulfuric acid 500ml</t>
  </si>
  <si>
    <t>heptane, lab grade 20L</t>
  </si>
  <si>
    <t>kerosene, A1 (K1) grade drum 162kg (45gal)</t>
  </si>
  <si>
    <t>thermometer, 0 to 525degre spot check</t>
  </si>
  <si>
    <t>solvent filtration, oil &amp; grease removal 7"x11"</t>
  </si>
  <si>
    <t>torch, icp-oes radial 1.4mm injector pkg/1</t>
  </si>
  <si>
    <t>electrode, pH DGI116-solvent</t>
  </si>
  <si>
    <t>guardian probe, for cetac asx-200/500/800 0.75mm</t>
  </si>
  <si>
    <t>isopropyl alcohol, ipa 99% 15kg can 20L</t>
  </si>
  <si>
    <t>potassium hydroxide, Fisher 0.1N in IPA 500ml</t>
  </si>
  <si>
    <t>buffer solution, pH4 red bdh 20L</t>
  </si>
  <si>
    <t>potassium hydroxide, Ricca 0.1N in IPA 20L</t>
  </si>
  <si>
    <t>26 analytes standard V26-100 400g</t>
  </si>
  <si>
    <t>base number, (BN) std 6 mg/KOH/g 50g</t>
  </si>
  <si>
    <t>tubing, tygon F4040A 3/16" ID 50'</t>
  </si>
  <si>
    <t>mask, surgical deluxe 50/box</t>
  </si>
  <si>
    <t>face mask, disposable black</t>
  </si>
  <si>
    <t>cleaner, simple green extreme 3.8L bottle</t>
  </si>
  <si>
    <t>26 analytes standard V26-10 400g</t>
  </si>
  <si>
    <t>methanol, BDH acs 19L can</t>
  </si>
  <si>
    <t>heptane, hplc grade 4L</t>
  </si>
  <si>
    <t>toner, laserjet 500 color M551 yellow</t>
  </si>
  <si>
    <t>marker, sharpie king size black</t>
  </si>
  <si>
    <t>diesel fuel,5% w/w devolatilized 75 cSt 100ml</t>
  </si>
  <si>
    <t>cap, crimp 20mm seal transp blue septa (pk of 100)</t>
  </si>
  <si>
    <t>detergent, liquid phosphate-free Liqui-Nox 3.8L</t>
  </si>
  <si>
    <t>pipette, 4.6ml transfer narrow-stem dispos pkg/500</t>
  </si>
  <si>
    <t>viscosity standard, N100 1L</t>
  </si>
  <si>
    <t>test tube, 13x100mm plastic cs/1000</t>
  </si>
  <si>
    <t>lithium chloride, 1M in etOH 250 ml</t>
  </si>
  <si>
    <t>organometallic oil, 1000ug/g Ba Ca Mg P ZN 200g</t>
  </si>
  <si>
    <t>pipet, polyethylene 8ml 4000/cs</t>
  </si>
  <si>
    <t>monitor, 24" LED Full HD ASUS</t>
  </si>
  <si>
    <t>hydrogen, 99.995% T</t>
  </si>
  <si>
    <t>custom MA5, special Ba Ca Mg P Zn @2000ug/g 200g</t>
  </si>
  <si>
    <t>buffer solution, pH7.00 yellow 20L</t>
  </si>
  <si>
    <t>tubing, grey-grey solva 2-stop 1.3mm pkg/12</t>
  </si>
  <si>
    <t>contrad 70, detergent 5 litre</t>
  </si>
  <si>
    <t>S60 conostan, viscosity std 500ml</t>
  </si>
  <si>
    <t>cap, crimp silver 20mm ptfe silicone septa pkg/100</t>
  </si>
  <si>
    <t>26 analytes standard V26-500 400g</t>
  </si>
  <si>
    <t>tip, siphon set</t>
  </si>
  <si>
    <t>buffer solution, pH10.00 Ricca blue 10L</t>
  </si>
  <si>
    <t>brush, wire Micronova stainless steel</t>
  </si>
  <si>
    <t>ribbon wax, industrial thermal 1.57''x1.476''</t>
  </si>
  <si>
    <t>standard, FTIR in service lubricants control</t>
  </si>
  <si>
    <t>conductivity, 500ml standard with TDS 3900us</t>
  </si>
  <si>
    <t>Case</t>
  </si>
  <si>
    <t>Box</t>
  </si>
  <si>
    <t>roll</t>
  </si>
  <si>
    <t>Each</t>
  </si>
  <si>
    <t>Package</t>
  </si>
  <si>
    <t>Drum</t>
  </si>
  <si>
    <t>Package/2</t>
  </si>
  <si>
    <t>Packag/100</t>
  </si>
  <si>
    <t>sorbent pad</t>
  </si>
  <si>
    <t>Safety Glasses</t>
    <phoneticPr fontId="1" type="noConversion"/>
  </si>
  <si>
    <t>ULICAN</t>
  </si>
  <si>
    <t>LINCAN-04</t>
  </si>
  <si>
    <t>FISSCI</t>
  </si>
  <si>
    <t>PERELM</t>
  </si>
  <si>
    <t>SCPSCI</t>
  </si>
  <si>
    <t>UNICAN-02</t>
  </si>
  <si>
    <t>CANLIF-02</t>
  </si>
  <si>
    <t>DELSCI</t>
  </si>
  <si>
    <t>VWRINT</t>
  </si>
  <si>
    <t>ATSSCI</t>
  </si>
  <si>
    <t>GLAEXP</t>
  </si>
  <si>
    <t>SAR</t>
  </si>
  <si>
    <t>BUNSAF</t>
  </si>
  <si>
    <t>VHGLAB</t>
  </si>
  <si>
    <t>METCAN</t>
  </si>
  <si>
    <t>AGITEC</t>
  </si>
  <si>
    <t>ALPLIM</t>
  </si>
  <si>
    <t>PTCMET</t>
  </si>
  <si>
    <t>BREMAC</t>
  </si>
  <si>
    <t>CARCOP</t>
  </si>
  <si>
    <t>MILCAN</t>
  </si>
  <si>
    <t>Hydranal Coulomat</t>
    <phoneticPr fontId="1" type="noConversion"/>
  </si>
  <si>
    <t>Thermal Transfer Labels</t>
    <phoneticPr fontId="1" type="noConversion"/>
  </si>
  <si>
    <t>Kimwipes</t>
    <phoneticPr fontId="1" type="noConversion"/>
  </si>
  <si>
    <t>Compressed Air</t>
    <phoneticPr fontId="1" type="noConversion"/>
  </si>
  <si>
    <t>Surgical Mask</t>
  </si>
  <si>
    <t>Hydrogen</t>
  </si>
  <si>
    <t>Brush</t>
  </si>
  <si>
    <t>Glove (M)</t>
    <phoneticPr fontId="1" type="noConversion"/>
  </si>
  <si>
    <t>Chromic Acid</t>
    <phoneticPr fontId="1" type="noConversion"/>
  </si>
  <si>
    <t>PH4 Buffer Solution</t>
    <phoneticPr fontId="1" type="noConversion"/>
  </si>
  <si>
    <t>Base Number std</t>
    <phoneticPr fontId="1" type="noConversion"/>
  </si>
  <si>
    <t>Tygon Tubing</t>
    <phoneticPr fontId="1" type="noConversion"/>
  </si>
  <si>
    <t>Heptane 4L</t>
    <phoneticPr fontId="1" type="noConversion"/>
  </si>
  <si>
    <t>5% Diesel Fuel</t>
    <phoneticPr fontId="1" type="noConversion"/>
  </si>
  <si>
    <t>N100 Viscosity Standard</t>
    <phoneticPr fontId="1" type="noConversion"/>
  </si>
  <si>
    <t>PH7 Buffer Solution</t>
    <phoneticPr fontId="1" type="noConversion"/>
  </si>
  <si>
    <t>S60 Viscoscity std</t>
    <phoneticPr fontId="1" type="noConversion"/>
  </si>
  <si>
    <t>PH10 Buffer Solution</t>
    <phoneticPr fontId="1" type="noConversion"/>
  </si>
  <si>
    <t>Simple Green® Extreme - 18.9 L Bottle</t>
  </si>
  <si>
    <t>Economy Cable Tie Gun</t>
  </si>
  <si>
    <t>Versa-Lensâ„¢ Safety Glasses</t>
  </si>
  <si>
    <t>X-Change Cutter</t>
  </si>
  <si>
    <t>toluene and IPA, 50:50 170kg drum</t>
  </si>
  <si>
    <t>#12 RUBBER BANDS - 1 3/4 X 1/16"</t>
  </si>
  <si>
    <t>BIC® GEL-OCITYâ„¢ GEL PEN - FINE TIP, RED</t>
  </si>
  <si>
    <t>3M POST-IT® NOTES - ASSORTED</t>
  </si>
  <si>
    <t>SIMPLE GREEN® EXTREME - 3.8 L BOTTLE</t>
  </si>
  <si>
    <t>Simple Green 18.9L</t>
    <phoneticPr fontId="1" type="noConversion"/>
  </si>
  <si>
    <t>Safety Glasses, Visitor</t>
    <phoneticPr fontId="1" type="noConversion"/>
  </si>
  <si>
    <t>Cable Tie Gun</t>
    <phoneticPr fontId="1" type="noConversion"/>
  </si>
  <si>
    <t>4 System Liquid Detergent</t>
    <phoneticPr fontId="1" type="noConversion"/>
  </si>
  <si>
    <t>Injector</t>
    <phoneticPr fontId="1" type="noConversion"/>
  </si>
  <si>
    <t>Super Clean Fluid</t>
    <phoneticPr fontId="1" type="noConversion"/>
  </si>
  <si>
    <t>PCNT 2806</t>
    <phoneticPr fontId="1" type="noConversion"/>
  </si>
  <si>
    <t>Mineral Spirit</t>
    <phoneticPr fontId="1" type="noConversion"/>
  </si>
  <si>
    <t>Station</t>
    <phoneticPr fontId="1" type="noConversion"/>
  </si>
  <si>
    <t>General</t>
  </si>
  <si>
    <t>ICP</t>
  </si>
  <si>
    <t>KF</t>
  </si>
  <si>
    <t>FTIR</t>
  </si>
  <si>
    <t>GC</t>
  </si>
  <si>
    <t>PCNT</t>
  </si>
  <si>
    <t>TBN</t>
  </si>
  <si>
    <t>AD</t>
  </si>
  <si>
    <t>TAN</t>
  </si>
  <si>
    <t>Crackle</t>
  </si>
  <si>
    <t>VIS</t>
  </si>
  <si>
    <t>Coolant</t>
  </si>
  <si>
    <t>Centrifuge tubes</t>
    <phoneticPr fontId="1" type="noConversion"/>
  </si>
  <si>
    <t>Dual Z axis Drive</t>
    <phoneticPr fontId="1" type="noConversion"/>
  </si>
  <si>
    <t>Kerosene (16kg)</t>
    <phoneticPr fontId="1" type="noConversion"/>
  </si>
  <si>
    <t>Nebulizer</t>
    <phoneticPr fontId="1" type="noConversion"/>
  </si>
  <si>
    <t>Glove (S)</t>
    <phoneticPr fontId="1" type="noConversion"/>
  </si>
  <si>
    <t>AN std</t>
    <phoneticPr fontId="1" type="noConversion"/>
  </si>
  <si>
    <t>Cobalt Std 6%</t>
    <phoneticPr fontId="1" type="noConversion"/>
  </si>
  <si>
    <t>Crackle reference</t>
    <phoneticPr fontId="1" type="noConversion"/>
  </si>
  <si>
    <t>Wide bore oil disposable tips</t>
    <phoneticPr fontId="1" type="noConversion"/>
  </si>
  <si>
    <t>Hydrnl Std 0.1%</t>
    <phoneticPr fontId="1" type="noConversion"/>
  </si>
  <si>
    <t>Heptane 20L</t>
    <phoneticPr fontId="1" type="noConversion"/>
  </si>
  <si>
    <t>Kerosene 162kg</t>
    <phoneticPr fontId="1" type="noConversion"/>
  </si>
  <si>
    <t>Thermometer</t>
    <phoneticPr fontId="1" type="noConversion"/>
  </si>
  <si>
    <t>Electrode</t>
    <phoneticPr fontId="1" type="noConversion"/>
  </si>
  <si>
    <t>Guardian Probe</t>
    <phoneticPr fontId="1" type="noConversion"/>
  </si>
  <si>
    <t>IPA 20L</t>
    <phoneticPr fontId="1" type="noConversion"/>
  </si>
  <si>
    <t>Potassium Hydroxide 500ml</t>
    <phoneticPr fontId="1" type="noConversion"/>
  </si>
  <si>
    <t>Potassium Hydroxide 20L</t>
    <phoneticPr fontId="1" type="noConversion"/>
  </si>
  <si>
    <t>Simple Green Cleaner 3.8L</t>
    <phoneticPr fontId="1" type="noConversion"/>
  </si>
  <si>
    <t>ICP torch</t>
    <phoneticPr fontId="1" type="noConversion"/>
  </si>
  <si>
    <t>Toner</t>
    <phoneticPr fontId="1" type="noConversion"/>
  </si>
  <si>
    <t>Marker</t>
    <phoneticPr fontId="1" type="noConversion"/>
  </si>
  <si>
    <t>Liquid Detergent Liqui-Nox</t>
    <phoneticPr fontId="1" type="noConversion"/>
  </si>
  <si>
    <t>Pipette narrow-stem</t>
    <phoneticPr fontId="1" type="noConversion"/>
  </si>
  <si>
    <t>Toluene 181kg</t>
    <phoneticPr fontId="1" type="noConversion"/>
  </si>
  <si>
    <t>Lithium Chloride</t>
    <phoneticPr fontId="1" type="noConversion"/>
  </si>
  <si>
    <t>Organometallic Oil 1000ug/g</t>
    <phoneticPr fontId="1" type="noConversion"/>
  </si>
  <si>
    <t>Monitor</t>
    <phoneticPr fontId="1" type="noConversion"/>
  </si>
  <si>
    <t>Rubber Bands</t>
    <phoneticPr fontId="1" type="noConversion"/>
  </si>
  <si>
    <t>Notes</t>
    <phoneticPr fontId="1" type="noConversion"/>
  </si>
  <si>
    <t>Simple Green 3.8L</t>
    <phoneticPr fontId="1" type="noConversion"/>
  </si>
  <si>
    <t>Custom Ma5 2000ug/g</t>
    <phoneticPr fontId="1" type="noConversion"/>
  </si>
  <si>
    <t>Ribbon Wax</t>
    <phoneticPr fontId="1" type="noConversion"/>
  </si>
  <si>
    <t>FTIR std</t>
    <phoneticPr fontId="1" type="noConversion"/>
  </si>
  <si>
    <t>CDWCAN</t>
  </si>
  <si>
    <t>METTOL-02</t>
  </si>
  <si>
    <t>S-17293</t>
  </si>
  <si>
    <t>S-7022</t>
  </si>
  <si>
    <t>S-21829</t>
  </si>
  <si>
    <t>S-15856</t>
  </si>
  <si>
    <t>H-241</t>
  </si>
  <si>
    <t>S-19900</t>
  </si>
  <si>
    <t>AR OX20C-K</t>
  </si>
  <si>
    <t>N9308354</t>
  </si>
  <si>
    <t>N9302949</t>
  </si>
  <si>
    <t>150-701-003</t>
  </si>
  <si>
    <t>150-701-001</t>
  </si>
  <si>
    <t>V06020-2338X</t>
  </si>
  <si>
    <t>CLS-1535B</t>
  </si>
  <si>
    <t>CA60829-032</t>
  </si>
  <si>
    <t>CA71006-922</t>
  </si>
  <si>
    <t>CA21905-026</t>
  </si>
  <si>
    <t>13-711-5B</t>
  </si>
  <si>
    <t>TEC SP6256</t>
  </si>
  <si>
    <t>TEC SP6191</t>
  </si>
  <si>
    <t>AI 0.0UZ-T</t>
  </si>
  <si>
    <t>ARG-07-US6</t>
  </si>
  <si>
    <t>116-0533-07</t>
  </si>
  <si>
    <t>3006PF-S</t>
  </si>
  <si>
    <t>3006PF-M</t>
  </si>
  <si>
    <t>OIL - 75 - 500</t>
  </si>
  <si>
    <t>AN-3-50G</t>
  </si>
  <si>
    <t>OCO-6PIS-400G</t>
  </si>
  <si>
    <t>CTR-0.1P-100</t>
  </si>
  <si>
    <t>02-963-7</t>
  </si>
  <si>
    <t>SIG-TI01169</t>
  </si>
  <si>
    <t>C142-11</t>
  </si>
  <si>
    <t>G8020-60806</t>
  </si>
  <si>
    <t>SC88-500</t>
  </si>
  <si>
    <t>HE1210-20L</t>
  </si>
  <si>
    <t>573C</t>
  </si>
  <si>
    <t>H-4412O</t>
  </si>
  <si>
    <t>SS-11</t>
  </si>
  <si>
    <t>75870-652</t>
  </si>
  <si>
    <t>70-803-1803</t>
  </si>
  <si>
    <t>ST110-500</t>
  </si>
  <si>
    <t>BDH0198-20L</t>
  </si>
  <si>
    <t>V26-100-400G</t>
  </si>
  <si>
    <t>BN-6-50G</t>
  </si>
  <si>
    <t>MFLX95633-02</t>
  </si>
  <si>
    <t>S-22137</t>
  </si>
  <si>
    <t>S-24023BL</t>
  </si>
  <si>
    <t>S-14771</t>
  </si>
  <si>
    <t>30-800-0015LL</t>
  </si>
  <si>
    <t>V26-10-400G</t>
  </si>
  <si>
    <t>BDH1135-19L</t>
  </si>
  <si>
    <t>H350-4</t>
  </si>
  <si>
    <t>CE402A-C</t>
  </si>
  <si>
    <t>H-255BL</t>
  </si>
  <si>
    <t>VHG-DSLFD-5PW-100</t>
  </si>
  <si>
    <t>CLS-9508</t>
  </si>
  <si>
    <t>21837-027</t>
  </si>
  <si>
    <t>14670-169</t>
  </si>
  <si>
    <t>150-600-343</t>
  </si>
  <si>
    <t>SC0060</t>
  </si>
  <si>
    <t>62481-250ML-F</t>
  </si>
  <si>
    <t>MA5-1000-200G</t>
  </si>
  <si>
    <t>14670-149</t>
  </si>
  <si>
    <t>S-12777</t>
  </si>
  <si>
    <t>S-21758R</t>
  </si>
  <si>
    <t>S-17272</t>
  </si>
  <si>
    <t>HY 4.5-T</t>
  </si>
  <si>
    <t>XMA5-2000-200G</t>
  </si>
  <si>
    <t>BDH0194-20L</t>
  </si>
  <si>
    <t>116-0533-11</t>
  </si>
  <si>
    <t>04-355-1</t>
  </si>
  <si>
    <t>150-600-302</t>
  </si>
  <si>
    <t>CLS-9981</t>
  </si>
  <si>
    <t>V26-500-400G</t>
  </si>
  <si>
    <t>1601-25</t>
  </si>
  <si>
    <t>19-435-111</t>
  </si>
  <si>
    <t>S-6937</t>
  </si>
  <si>
    <t>N9308350</t>
  </si>
  <si>
    <t>250-160-330</t>
  </si>
  <si>
    <t>ICP std V26-100</t>
    <phoneticPr fontId="1" type="noConversion"/>
  </si>
  <si>
    <t>ICP std V26-500</t>
    <phoneticPr fontId="1" type="noConversion"/>
  </si>
  <si>
    <t>ICP std V26-10</t>
    <phoneticPr fontId="1" type="noConversion"/>
  </si>
  <si>
    <t>Price</t>
  </si>
  <si>
    <t>Price</t>
    <phoneticPr fontId="1" type="noConversion"/>
  </si>
  <si>
    <t>Value in stock</t>
  </si>
  <si>
    <t>Value in stock</t>
    <phoneticPr fontId="1" type="noConversion"/>
  </si>
  <si>
    <t>ALS Item #</t>
  </si>
  <si>
    <t>Qty</t>
    <phoneticPr fontId="1" type="noConversion"/>
  </si>
  <si>
    <t>Date</t>
    <phoneticPr fontId="1" type="noConversion"/>
  </si>
  <si>
    <t>Unit Price</t>
    <phoneticPr fontId="1" type="noConversion"/>
  </si>
  <si>
    <t>Conductivity TDS std</t>
  </si>
  <si>
    <t>Argon, Oxygen 20%</t>
  </si>
  <si>
    <t>N100 Viscosity Standard</t>
  </si>
  <si>
    <t>No.</t>
  </si>
  <si>
    <t>Vendor #</t>
  </si>
  <si>
    <t>Item Description</t>
  </si>
  <si>
    <t>Vendor Item #</t>
  </si>
  <si>
    <t>UOM</t>
  </si>
  <si>
    <t>Station</t>
  </si>
  <si>
    <t>Price$</t>
  </si>
  <si>
    <t>Last Update date</t>
  </si>
  <si>
    <t>Consumable</t>
  </si>
  <si>
    <t>y</t>
  </si>
  <si>
    <t>n</t>
  </si>
  <si>
    <t>Mineral Spirit</t>
  </si>
  <si>
    <t>17*100mm Test Tube</t>
  </si>
  <si>
    <t>Kerosene (16kg)</t>
  </si>
  <si>
    <t>Cobalt Std 6%</t>
  </si>
  <si>
    <t>Kerosene 162kg</t>
  </si>
  <si>
    <t>ICP std V26-100</t>
  </si>
  <si>
    <t>13*100mm test tubes</t>
  </si>
  <si>
    <t>Organometallic Oil 1000ug/g</t>
  </si>
  <si>
    <t>Custom Ma5 2000ug/g</t>
  </si>
  <si>
    <t>ICP torch</t>
  </si>
  <si>
    <t>tubing, grey-grey solva 2-stop 1.3mm</t>
  </si>
  <si>
    <t>4010078</t>
  </si>
  <si>
    <t>4010076</t>
  </si>
  <si>
    <t>5006622</t>
  </si>
  <si>
    <t>5008040</t>
  </si>
  <si>
    <t>5005808</t>
  </si>
  <si>
    <t>4440180</t>
  </si>
  <si>
    <t>5005795</t>
  </si>
  <si>
    <t>5003463</t>
  </si>
  <si>
    <t>6010225</t>
  </si>
  <si>
    <t>4410107</t>
  </si>
  <si>
    <t>4559603</t>
  </si>
  <si>
    <t>4010857</t>
  </si>
  <si>
    <t>6010132</t>
  </si>
  <si>
    <t>4230436</t>
  </si>
  <si>
    <t>5006077</t>
  </si>
  <si>
    <t>4440050</t>
  </si>
  <si>
    <t>5009029</t>
  </si>
  <si>
    <t>4230437</t>
  </si>
  <si>
    <t>5003427</t>
  </si>
  <si>
    <t>5006103</t>
  </si>
  <si>
    <t>4559700</t>
  </si>
  <si>
    <t>3291108</t>
  </si>
  <si>
    <t>4390222</t>
  </si>
  <si>
    <t>5006955</t>
  </si>
  <si>
    <t>4321187</t>
  </si>
  <si>
    <t>4244986</t>
  </si>
  <si>
    <t>4244985</t>
  </si>
  <si>
    <t>3051081</t>
  </si>
  <si>
    <t>6040846</t>
  </si>
  <si>
    <t>6040876</t>
  </si>
  <si>
    <t>6032079</t>
  </si>
  <si>
    <t>5008882</t>
  </si>
  <si>
    <t>4440010</t>
  </si>
  <si>
    <t>5007922</t>
  </si>
  <si>
    <t>5007923</t>
  </si>
  <si>
    <t>5007924</t>
  </si>
  <si>
    <t>3050773</t>
  </si>
  <si>
    <t>4322129</t>
  </si>
  <si>
    <t>3080606</t>
  </si>
  <si>
    <t>6010249</t>
  </si>
  <si>
    <t>6010149</t>
  </si>
  <si>
    <t>6040938</t>
  </si>
  <si>
    <t>4322185</t>
  </si>
  <si>
    <t>4321107</t>
  </si>
  <si>
    <t>4019285</t>
  </si>
  <si>
    <t>4001593</t>
  </si>
  <si>
    <t>4231069</t>
  </si>
  <si>
    <t>4230076</t>
  </si>
  <si>
    <t>6031785</t>
  </si>
  <si>
    <t>4559673</t>
  </si>
  <si>
    <t>6010200</t>
  </si>
  <si>
    <t>6032171</t>
  </si>
  <si>
    <t>1060057</t>
  </si>
  <si>
    <t>5006498</t>
  </si>
  <si>
    <t>3050719</t>
  </si>
  <si>
    <t>5005750</t>
  </si>
  <si>
    <t>5003439</t>
  </si>
  <si>
    <t>6041021</t>
  </si>
  <si>
    <t>6040077</t>
  </si>
  <si>
    <t>6040050</t>
  </si>
  <si>
    <t>4430885</t>
  </si>
  <si>
    <t>4430396</t>
  </si>
  <si>
    <t>4430138</t>
  </si>
  <si>
    <t>6006536</t>
  </si>
  <si>
    <t>6006599</t>
  </si>
  <si>
    <t>4559390</t>
  </si>
  <si>
    <t>5004560</t>
  </si>
  <si>
    <t>4242051</t>
  </si>
  <si>
    <t>4231116</t>
  </si>
  <si>
    <t>4322212</t>
  </si>
  <si>
    <t>4240521</t>
  </si>
  <si>
    <t>4010066</t>
  </si>
  <si>
    <t>2180200</t>
  </si>
  <si>
    <t>4245062</t>
  </si>
  <si>
    <t>4001873</t>
  </si>
  <si>
    <t>3291742</t>
  </si>
  <si>
    <t>2180105</t>
  </si>
  <si>
    <t>6010162</t>
  </si>
  <si>
    <t>8070347</t>
  </si>
  <si>
    <t>3050463</t>
  </si>
  <si>
    <t>4130871</t>
  </si>
  <si>
    <t>4131226</t>
  </si>
  <si>
    <t>4131251</t>
  </si>
  <si>
    <t>4551664</t>
  </si>
  <si>
    <t>Alert number</t>
  </si>
  <si>
    <t>heptane, 142kg/drum</t>
  </si>
  <si>
    <t>Heptane, 142kg/drum</t>
  </si>
  <si>
    <t>GC cap silver</t>
  </si>
  <si>
    <t>cable, sensor triaxel sc lemo for DL50 titrator</t>
  </si>
  <si>
    <t>Toluene 20L</t>
  </si>
  <si>
    <t>toluene, 20L</t>
  </si>
  <si>
    <t>TO1010-20L</t>
  </si>
  <si>
    <t>stirrer, assembly ASX-7000</t>
  </si>
  <si>
    <t>TELINS</t>
  </si>
  <si>
    <t>32-0303-047</t>
  </si>
  <si>
    <t>nitric acid, acs grade 68-70% glass 2.5L</t>
  </si>
  <si>
    <t>CA11021-134</t>
  </si>
  <si>
    <t>cap, snap blue PTFE w/ septa 11mm pk/100</t>
  </si>
  <si>
    <t>89239-010A</t>
  </si>
  <si>
    <t>H-6502</t>
  </si>
  <si>
    <t>FM Approved Rotary Drum Pump</t>
  </si>
  <si>
    <t>Rotary Pump</t>
  </si>
  <si>
    <t>bracket, fire extinguisher10lb standard wall mount</t>
  </si>
  <si>
    <t>H-5933</t>
  </si>
  <si>
    <t>label, 3/4" circle fluorescent green rem roll/1000</t>
  </si>
  <si>
    <t>label, 3/4" circle fluorescent Red rem roll/1000</t>
  </si>
  <si>
    <t>Red Label, Circle</t>
  </si>
  <si>
    <t>S-13122G</t>
  </si>
  <si>
    <t>S-13122R</t>
  </si>
  <si>
    <t>tape, Uline industrial clear 2mil 2"x110yds</t>
  </si>
  <si>
    <t>ULINE INDUSTRIAL TAPE - HEAVY DUTY</t>
  </si>
  <si>
    <t>Tape, Clear</t>
  </si>
  <si>
    <t>Tape, Heavy Duty</t>
  </si>
  <si>
    <t>S-423</t>
  </si>
  <si>
    <t>S-447</t>
  </si>
  <si>
    <t>Re-order</t>
  </si>
  <si>
    <t>Out of Stock</t>
  </si>
  <si>
    <t>4 System Liquid Detergent</t>
  </si>
  <si>
    <t>5% Diesel Fuel</t>
  </si>
  <si>
    <t>AN std</t>
  </si>
  <si>
    <t>Base Number std</t>
  </si>
  <si>
    <t>Blend 50/50 170kg</t>
  </si>
  <si>
    <t>chloroform</t>
  </si>
  <si>
    <t>Chromic Acid</t>
  </si>
  <si>
    <t>Compressed Air</t>
  </si>
  <si>
    <t>Crackle reference</t>
  </si>
  <si>
    <t>Dual Z axis Drive</t>
  </si>
  <si>
    <t>Electrode</t>
  </si>
  <si>
    <t>FTIR std</t>
  </si>
  <si>
    <t>Gel pen</t>
  </si>
  <si>
    <t>Glove (M)</t>
  </si>
  <si>
    <t>Glove (S)</t>
  </si>
  <si>
    <t>Heptane 20L</t>
  </si>
  <si>
    <t>Hydranal Coulomat</t>
  </si>
  <si>
    <t>Hydrnl Std 0.1%</t>
  </si>
  <si>
    <t>IPA 20L</t>
  </si>
  <si>
    <t>KF cap Blue</t>
  </si>
  <si>
    <t>KF caps</t>
  </si>
  <si>
    <t>KF vials</t>
  </si>
  <si>
    <t>Kimwipes</t>
  </si>
  <si>
    <t>Lithium Chloride</t>
  </si>
  <si>
    <t>Marker</t>
  </si>
  <si>
    <t>Mathanol</t>
  </si>
  <si>
    <t>Monitor</t>
  </si>
  <si>
    <t>Notes</t>
  </si>
  <si>
    <t>PCNT 2806</t>
  </si>
  <si>
    <t>PH10 Buffer Solution</t>
  </si>
  <si>
    <t>PH4 Buffer Solution</t>
  </si>
  <si>
    <t>PH7 Buffer Solution</t>
  </si>
  <si>
    <t>Pipette</t>
  </si>
  <si>
    <t>Pipette narrow-stem</t>
  </si>
  <si>
    <t>Potassium Hydroxide 20L</t>
  </si>
  <si>
    <t>Potassium Hydroxide 500ml</t>
  </si>
  <si>
    <t>Ribbon Wax</t>
  </si>
  <si>
    <t>Rubber Bands</t>
  </si>
  <si>
    <t>Safety Glasses</t>
  </si>
  <si>
    <t>Safety Glasses, Visitor</t>
  </si>
  <si>
    <t>Simple Green 18.9L</t>
  </si>
  <si>
    <t>Simple Green 3.8L</t>
  </si>
  <si>
    <t>Simple Green Cleaner 3.8L</t>
  </si>
  <si>
    <t>Super Clean Fluid</t>
  </si>
  <si>
    <t>TAN beaker</t>
  </si>
  <si>
    <t>Thermal Transfer Labels</t>
  </si>
  <si>
    <t>Thermometer</t>
  </si>
  <si>
    <t>Toluene 181kg</t>
  </si>
  <si>
    <t>Toner</t>
  </si>
  <si>
    <t>Tygon Tubing</t>
  </si>
  <si>
    <t>Wide bore oil disposable tips</t>
  </si>
  <si>
    <t>Vendor Item#</t>
  </si>
  <si>
    <t>16053485</t>
  </si>
  <si>
    <t>16174763</t>
  </si>
  <si>
    <t>75.565</t>
  </si>
  <si>
    <t>6236998</t>
  </si>
  <si>
    <t>23240</t>
  </si>
  <si>
    <t>6000644</t>
  </si>
  <si>
    <t>6001609</t>
  </si>
  <si>
    <t>16168382</t>
  </si>
  <si>
    <t>20066</t>
  </si>
  <si>
    <t>361046247</t>
  </si>
  <si>
    <t>20054</t>
  </si>
  <si>
    <t>16170713</t>
  </si>
  <si>
    <t>16170236</t>
  </si>
  <si>
    <t>4383547</t>
  </si>
  <si>
    <t>4021266</t>
  </si>
  <si>
    <t>4382481</t>
  </si>
  <si>
    <t>4019734</t>
  </si>
  <si>
    <t>6006548</t>
  </si>
  <si>
    <t>6010137</t>
  </si>
  <si>
    <t>3290826</t>
  </si>
  <si>
    <t>3291680</t>
  </si>
  <si>
    <t>6010275</t>
  </si>
  <si>
    <t>PO#</t>
  </si>
  <si>
    <t>Value</t>
  </si>
  <si>
    <t>*4230436*</t>
  </si>
  <si>
    <t>*SC88-500*</t>
  </si>
  <si>
    <t>*5004560*</t>
  </si>
  <si>
    <t>*150-600-302*</t>
  </si>
  <si>
    <t>*5006498*</t>
  </si>
  <si>
    <t>*150-600-343*</t>
  </si>
  <si>
    <t>*6010275*</t>
  </si>
  <si>
    <t>*20066*</t>
  </si>
  <si>
    <t>*6010162*</t>
  </si>
  <si>
    <t>*20054*</t>
  </si>
  <si>
    <t>*5005795*</t>
  </si>
  <si>
    <t>*BN-6-50G*</t>
  </si>
  <si>
    <t>*6010137*</t>
  </si>
  <si>
    <t>*TO1010-20L*</t>
  </si>
  <si>
    <t>*3290826*</t>
  </si>
  <si>
    <t>*2180105*</t>
  </si>
  <si>
    <t>*23240*</t>
  </si>
  <si>
    <t>*6010132*</t>
  </si>
  <si>
    <t>*CA71006-922*</t>
  </si>
  <si>
    <t>*6010225*</t>
  </si>
  <si>
    <t>*16170713*</t>
  </si>
  <si>
    <t>*6006599*</t>
  </si>
  <si>
    <t>*ST110-500*</t>
  </si>
  <si>
    <t>*5005808*</t>
  </si>
  <si>
    <t>*AN-3-50G*</t>
  </si>
  <si>
    <t>*6041021*</t>
  </si>
  <si>
    <t>*1601-25*</t>
  </si>
  <si>
    <t>*6010249*</t>
  </si>
  <si>
    <t>*16053485*</t>
  </si>
  <si>
    <t>*6040050*</t>
  </si>
  <si>
    <t>*BDH0194-20L*</t>
  </si>
  <si>
    <t>*6040077*</t>
  </si>
  <si>
    <t>*BDH0198-20L*</t>
  </si>
  <si>
    <t>*4001873*</t>
  </si>
  <si>
    <t>*75.565*</t>
  </si>
  <si>
    <t>*6031785*</t>
  </si>
  <si>
    <t>*62481-250ML-F*</t>
  </si>
  <si>
    <t>*6006536*</t>
  </si>
  <si>
    <t>*361046247*</t>
  </si>
  <si>
    <t>*4390222*</t>
  </si>
  <si>
    <t>*75870-652*</t>
  </si>
  <si>
    <t>*2180200*</t>
  </si>
  <si>
    <t>*150-701-003*</t>
  </si>
  <si>
    <t>*5003439*</t>
  </si>
  <si>
    <t>*150-701-001*</t>
  </si>
  <si>
    <t>*4001593*</t>
  </si>
  <si>
    <t>*V06020-2338X*</t>
  </si>
  <si>
    <t>*4019285*</t>
  </si>
  <si>
    <t>*CLS-9981*</t>
  </si>
  <si>
    <t>*4322185*</t>
  </si>
  <si>
    <t>*CLS-9508*</t>
  </si>
  <si>
    <t>*4321107*</t>
  </si>
  <si>
    <t>*CLS-1535B*</t>
  </si>
  <si>
    <t>*6010200*</t>
  </si>
  <si>
    <t>*BDH1135-19L*</t>
  </si>
  <si>
    <t>*5008882*</t>
  </si>
  <si>
    <t>*SIG-TI01169*</t>
  </si>
  <si>
    <t>*6032079*</t>
  </si>
  <si>
    <t>*6000644*</t>
  </si>
  <si>
    <t>*5003463*</t>
  </si>
  <si>
    <t>*OIL - 75 - 500*</t>
  </si>
  <si>
    <t>*4130871*</t>
  </si>
  <si>
    <t>*116-0533-07*</t>
  </si>
  <si>
    <t>*4131226*</t>
  </si>
  <si>
    <t>*116-0533-11*</t>
  </si>
  <si>
    <t>*6006548*</t>
  </si>
  <si>
    <t>*CA11021-134*</t>
  </si>
  <si>
    <t>*4010076*</t>
  </si>
  <si>
    <t>*4010078*</t>
  </si>
  <si>
    <t>*SC0060*</t>
  </si>
  <si>
    <t>*6010149*</t>
  </si>
  <si>
    <t>*16174763*</t>
  </si>
  <si>
    <t>*4010857*</t>
  </si>
  <si>
    <t>*CA60829-032*</t>
  </si>
  <si>
    <t>*3051081*</t>
  </si>
  <si>
    <t>*70-803-1803*</t>
  </si>
  <si>
    <t>*3080606*</t>
  </si>
  <si>
    <t>*G8020-60806*</t>
  </si>
  <si>
    <t>*5005750*</t>
  </si>
  <si>
    <t>*MA5-1000-200G*</t>
  </si>
  <si>
    <t>*4440180*</t>
  </si>
  <si>
    <t>*AR OX20C-K*</t>
  </si>
  <si>
    <t>*5006103*</t>
  </si>
  <si>
    <t>*XMA5-2000-200G*</t>
  </si>
  <si>
    <t>*3050773*</t>
  </si>
  <si>
    <t>*30-800-0015LL*</t>
  </si>
  <si>
    <t>*5007922*</t>
  </si>
  <si>
    <t>*V26-10-400G*</t>
  </si>
  <si>
    <t>*5007923*</t>
  </si>
  <si>
    <t>*V26-100-400G*</t>
  </si>
  <si>
    <t>*3291680*</t>
  </si>
  <si>
    <t>*32-0303-047*</t>
  </si>
  <si>
    <t>*3050719*</t>
  </si>
  <si>
    <t>*ARG-07-US6*</t>
  </si>
  <si>
    <t>*6032171*</t>
  </si>
  <si>
    <t>*16168382*</t>
  </si>
  <si>
    <t>*5006077*</t>
  </si>
  <si>
    <t>*OCO-6PIS-400G*</t>
  </si>
  <si>
    <t>*6040938*</t>
  </si>
  <si>
    <t>*16170236*</t>
  </si>
  <si>
    <t>*5007924*</t>
  </si>
  <si>
    <t>*V26-500-400G*</t>
  </si>
  <si>
    <t>*4559603*</t>
  </si>
  <si>
    <t>*S-21758R*</t>
  </si>
  <si>
    <t>*4242051*</t>
  </si>
  <si>
    <t>*S-7022*</t>
  </si>
  <si>
    <t>*4383547*</t>
  </si>
  <si>
    <t>*S-423*</t>
  </si>
  <si>
    <t>*4559673*</t>
  </si>
  <si>
    <t>*H-255BL*</t>
  </si>
  <si>
    <t>*4231069*</t>
  </si>
  <si>
    <t>*CA21905-026*</t>
  </si>
  <si>
    <t>*4021266*</t>
  </si>
  <si>
    <t>*H-5933*</t>
  </si>
  <si>
    <t>*S-447*</t>
  </si>
  <si>
    <t>*4244985*</t>
  </si>
  <si>
    <t>*3006PF-S*</t>
  </si>
  <si>
    <t>*4244986*</t>
  </si>
  <si>
    <t>*3006PF-M*</t>
  </si>
  <si>
    <t>*4559390*</t>
  </si>
  <si>
    <t>*S-6937*</t>
  </si>
  <si>
    <t>*S-12777*</t>
  </si>
  <si>
    <t>*4559700*</t>
  </si>
  <si>
    <t>*S-24023BL*</t>
  </si>
  <si>
    <t>*S-21829*</t>
  </si>
  <si>
    <t>*H-4412O*</t>
  </si>
  <si>
    <t>*4245062*</t>
  </si>
  <si>
    <t>*S-22137*</t>
  </si>
  <si>
    <t>*4410107*</t>
  </si>
  <si>
    <t>*19-435-111*</t>
  </si>
  <si>
    <t>*4382481*</t>
  </si>
  <si>
    <t>*S-13122G*</t>
  </si>
  <si>
    <t>*S-13122R*</t>
  </si>
  <si>
    <t>*H-241*</t>
  </si>
  <si>
    <t>*4430396*</t>
  </si>
  <si>
    <t>*13-711-5B*</t>
  </si>
  <si>
    <t>*S-17272*</t>
  </si>
  <si>
    <t>*S-19900*</t>
  </si>
  <si>
    <t>*4231116*</t>
  </si>
  <si>
    <t>*S-14771*</t>
  </si>
  <si>
    <t>*4430138*</t>
  </si>
  <si>
    <t>*14670-169*</t>
  </si>
  <si>
    <t>*4010066*</t>
  </si>
  <si>
    <t>*02-963-7*</t>
  </si>
  <si>
    <t>*8070347*</t>
  </si>
  <si>
    <t>*CE402A-C*</t>
  </si>
  <si>
    <t>*4230076*</t>
  </si>
  <si>
    <t>*21837-027*</t>
  </si>
  <si>
    <t>*4322212*</t>
  </si>
  <si>
    <t>*SS-11*</t>
  </si>
  <si>
    <t>*S-15856*</t>
  </si>
  <si>
    <t>*4240521*</t>
  </si>
  <si>
    <t>*S-17293*</t>
  </si>
  <si>
    <t>*4230437*</t>
  </si>
  <si>
    <t>*04-355-1*</t>
  </si>
  <si>
    <t>*1060057*</t>
  </si>
  <si>
    <t>*6236998*</t>
  </si>
  <si>
    <t>*4131251*</t>
  </si>
  <si>
    <t>*MFLX95633-02*</t>
  </si>
  <si>
    <t>*4430885*</t>
  </si>
  <si>
    <t>*14670-149*</t>
  </si>
  <si>
    <t>*H-6502*</t>
  </si>
  <si>
    <t>*4321187*</t>
  </si>
  <si>
    <t>*C142-11*</t>
  </si>
  <si>
    <t>*4019734*</t>
  </si>
  <si>
    <t>*89239-010A*</t>
  </si>
  <si>
    <t>*4440010*</t>
  </si>
  <si>
    <t>*HY 4.5-T*</t>
  </si>
  <si>
    <t>*5008040*</t>
  </si>
  <si>
    <t>*VHG-DSLFD-5PW-100*</t>
  </si>
  <si>
    <t>*4440050*</t>
  </si>
  <si>
    <t>*AI 0.0UZ-T*</t>
  </si>
  <si>
    <t>*4322129*</t>
  </si>
  <si>
    <t>*N9302949*</t>
  </si>
  <si>
    <t>*5006622*</t>
  </si>
  <si>
    <t>*N9308354*</t>
  </si>
  <si>
    <t>*6040846*</t>
  </si>
  <si>
    <t>*HE1210-20L*</t>
  </si>
  <si>
    <t>*6040876*</t>
  </si>
  <si>
    <t>*H350-4*</t>
  </si>
  <si>
    <t>*5006955*</t>
  </si>
  <si>
    <t>*N9308350*</t>
  </si>
  <si>
    <t>*4551664*</t>
  </si>
  <si>
    <t>*6001609*</t>
  </si>
  <si>
    <t>*5003427*</t>
  </si>
  <si>
    <t>*CTR-0.1P-100*</t>
  </si>
  <si>
    <t>*3291742*</t>
  </si>
  <si>
    <t>*573C*</t>
  </si>
  <si>
    <t>*5009029*</t>
  </si>
  <si>
    <t>*250-160-330*</t>
  </si>
  <si>
    <t>*3050463*</t>
  </si>
  <si>
    <t>*TEC SP6191*</t>
  </si>
  <si>
    <t>*3291108*</t>
  </si>
  <si>
    <t>*TEC SP6256*</t>
  </si>
  <si>
    <t>Material Log</t>
  </si>
  <si>
    <t>2142380030</t>
  </si>
  <si>
    <t>89602</t>
  </si>
  <si>
    <t>22K0261067</t>
  </si>
  <si>
    <t>jw</t>
  </si>
  <si>
    <t>23F216010</t>
  </si>
  <si>
    <t>at</t>
  </si>
  <si>
    <t>sc</t>
  </si>
  <si>
    <t>2310M99</t>
  </si>
  <si>
    <t>tf</t>
  </si>
  <si>
    <t>N0860</t>
  </si>
  <si>
    <t>1105062-2</t>
  </si>
  <si>
    <t>1347604-1</t>
  </si>
  <si>
    <t>1372544-1</t>
  </si>
  <si>
    <t>1212256-15</t>
  </si>
  <si>
    <t>22K2761009</t>
  </si>
  <si>
    <t>30D</t>
  </si>
  <si>
    <t>1259445-7</t>
  </si>
  <si>
    <t>lithium chloride, 2M in ethanol 250mL</t>
  </si>
  <si>
    <t>5006462</t>
  </si>
  <si>
    <t>SNGTI94478</t>
  </si>
  <si>
    <t>ALS231906</t>
  </si>
  <si>
    <t>1361565-6</t>
  </si>
  <si>
    <t>ALS231905</t>
  </si>
  <si>
    <t>ALS231903</t>
  </si>
  <si>
    <t>ALS231862</t>
  </si>
  <si>
    <t>ALS231119</t>
  </si>
  <si>
    <t>ALS Item#</t>
  </si>
  <si>
    <t>6031790</t>
  </si>
  <si>
    <t>MILCAM</t>
  </si>
  <si>
    <t>a-Naphtolbenzein 5gr</t>
  </si>
  <si>
    <t>291099-5G</t>
  </si>
  <si>
    <t>STBL2433</t>
  </si>
  <si>
    <t>ALS232288</t>
  </si>
  <si>
    <t>a-Naphtolbenzein</t>
  </si>
  <si>
    <t>ALS232742</t>
  </si>
  <si>
    <t>4303C83</t>
  </si>
  <si>
    <t>1378511-1</t>
  </si>
  <si>
    <t>ALS232739</t>
  </si>
  <si>
    <t>*5006462*</t>
  </si>
  <si>
    <t>*6031790*</t>
  </si>
  <si>
    <t>*89602*</t>
  </si>
  <si>
    <t>*SNGTI94478*</t>
  </si>
  <si>
    <t>*291099-5G*</t>
  </si>
  <si>
    <t>*2142380030*</t>
  </si>
  <si>
    <t>N1140</t>
  </si>
  <si>
    <t>ALS233466</t>
  </si>
  <si>
    <t>Garbage Bags, Black</t>
  </si>
  <si>
    <t>Staples</t>
  </si>
  <si>
    <t>Staples Industrial Extra-Strong Garbage Bags, 35" x 50", Black, 100 Pack</t>
  </si>
  <si>
    <t>STP20525</t>
  </si>
  <si>
    <t>ALS233457</t>
  </si>
  <si>
    <t>Pipet 5.8mL</t>
  </si>
  <si>
    <t>137119AM</t>
  </si>
  <si>
    <t>Pkg</t>
  </si>
  <si>
    <t>Pipet 4000/case</t>
  </si>
  <si>
    <t>ALS233533</t>
  </si>
  <si>
    <t>Barcode</t>
  </si>
  <si>
    <t>2142380030E1</t>
  </si>
  <si>
    <t>=+H5686913A</t>
  </si>
  <si>
    <t>4430911</t>
  </si>
  <si>
    <t>CHABIO</t>
  </si>
  <si>
    <t>tips, 1000ul compt w tecan black wide bore 96pcs/t</t>
  </si>
  <si>
    <t>17.331.0109</t>
  </si>
  <si>
    <t>pkg</t>
  </si>
  <si>
    <t>FTIR tips wide bore (Chanshow)</t>
  </si>
  <si>
    <t>Chloroform</t>
  </si>
  <si>
    <t>Methanol</t>
  </si>
  <si>
    <t>Lithium chloride, 2M in ethanol 250mL</t>
  </si>
  <si>
    <t>Tubing, black-black PVCSolva 2-stop 0.76mm pkg/12</t>
  </si>
  <si>
    <t>VanBlend 50/50 170kg</t>
  </si>
  <si>
    <t>Tubing, grey-grey solva 2-stop 1.3mm</t>
  </si>
  <si>
    <t>GC Liner</t>
  </si>
  <si>
    <t>GC caps</t>
  </si>
  <si>
    <t>13*100mm Test Tubes</t>
  </si>
  <si>
    <t>KF Vials</t>
  </si>
  <si>
    <t>TAN Beakers</t>
  </si>
  <si>
    <t>Gel Pen</t>
  </si>
  <si>
    <t>17*100mm Test Tubes</t>
  </si>
  <si>
    <t>KF Silver Caps with Blue Septa</t>
  </si>
  <si>
    <t>Contrad 70, Detergent 5 litre</t>
  </si>
  <si>
    <t>Bracket, Fire Extinguisher Standard Wall Mount</t>
  </si>
  <si>
    <t>Disposal Face Mask</t>
  </si>
  <si>
    <t>GC Caps blue</t>
  </si>
  <si>
    <t>Green Label, Circle</t>
  </si>
  <si>
    <t>KF Silver Caps With White Septa</t>
  </si>
  <si>
    <t>Nitric Acid, ACS Grade 68-70% Glass 2.5L</t>
  </si>
  <si>
    <t>S60 Viscoscity Std</t>
  </si>
  <si>
    <t>Sensor Cable</t>
  </si>
  <si>
    <t>Solvent Filtration, Oil &amp; Grease Removal 7"x11"</t>
  </si>
  <si>
    <t>Spigot, Quick Action PPE Nalgene</t>
  </si>
  <si>
    <t>Stirrer, Assembly ASX-7000</t>
  </si>
  <si>
    <t>Tip, Siphon Set</t>
  </si>
  <si>
    <t>Tubing And Connector Kit, Drain Pump</t>
  </si>
  <si>
    <t>BN Std</t>
  </si>
  <si>
    <t>AN Std</t>
  </si>
  <si>
    <t>Lithium Chloride, 2M in Ethanol 250mL</t>
  </si>
  <si>
    <t>TAN beakers</t>
  </si>
  <si>
    <t>KF Silver Caps with White Septa</t>
  </si>
  <si>
    <t>KF Caps Blue</t>
  </si>
  <si>
    <t>Centrifuge Tubes</t>
  </si>
  <si>
    <t>ICP Torch</t>
  </si>
  <si>
    <t>Tubing, Black-Black PVCSolva 2-Stop 0.76mm pkg/12</t>
  </si>
  <si>
    <t>Tubing, Grey-Grey Solva 2-Stop 1.3mm</t>
  </si>
  <si>
    <t>Custom MA5 2000ug/g</t>
  </si>
  <si>
    <t>ICP Std V26-10</t>
  </si>
  <si>
    <t>ICP Std V26-100</t>
  </si>
  <si>
    <t>ICP Std V26-500</t>
  </si>
  <si>
    <t>Contrad 70, Detergent 5 Litre</t>
  </si>
  <si>
    <t>Sorbent Pad</t>
  </si>
  <si>
    <t>GC Caps Silver</t>
  </si>
  <si>
    <t>GC Caps Blue</t>
  </si>
  <si>
    <t>Wide Bore Oil Disposable Tips</t>
  </si>
  <si>
    <t>FTIR Tips Wide Bore (Chanshow)</t>
  </si>
  <si>
    <t>Crackle Reference Std</t>
  </si>
  <si>
    <t>Conductivity TDS Std</t>
  </si>
  <si>
    <t>Dual Z Axis Drive</t>
  </si>
  <si>
    <t>Tubing and Connector Kit, Drain Pump</t>
  </si>
  <si>
    <t>Glad Press'n Seal Plastic Food Wrap</t>
  </si>
  <si>
    <t xml:space="preserve">Glad Press'n Seal Plastic Food Wrap - 100 Square Foot Roll </t>
  </si>
  <si>
    <t>N1700</t>
  </si>
  <si>
    <t>ALS234481</t>
  </si>
  <si>
    <t>ALS234284</t>
  </si>
  <si>
    <t>CTR-0.1P-99</t>
  </si>
  <si>
    <t>ALS234299</t>
  </si>
  <si>
    <t>1415584-1</t>
  </si>
  <si>
    <t>ALS232740</t>
  </si>
  <si>
    <t>2208K61</t>
  </si>
  <si>
    <t>4210G32</t>
  </si>
  <si>
    <t>PH3 Buffer Solution</t>
  </si>
  <si>
    <t>ACCUSPEC</t>
  </si>
  <si>
    <t>buffer solution, PH3.0</t>
  </si>
  <si>
    <t>S2110601039</t>
  </si>
  <si>
    <t>N2020</t>
  </si>
  <si>
    <t>ALS235193</t>
  </si>
  <si>
    <t>ALS235195</t>
  </si>
  <si>
    <t>ALS235196</t>
  </si>
  <si>
    <t>2404H49</t>
  </si>
  <si>
    <t>A:S234481</t>
  </si>
  <si>
    <t>ab</t>
  </si>
  <si>
    <t>ALS235191</t>
  </si>
  <si>
    <t>Hydrochloric Acid, 20L</t>
  </si>
  <si>
    <t>6006535</t>
  </si>
  <si>
    <t>Hydrochloric Acid, Ricca 0.1 N/IPA 20L</t>
  </si>
  <si>
    <t>R380000020F</t>
  </si>
  <si>
    <t>4312F48</t>
  </si>
  <si>
    <t>N3240</t>
  </si>
  <si>
    <t>ALS236367</t>
  </si>
  <si>
    <t>ALS236298</t>
  </si>
  <si>
    <t>Z206400504</t>
  </si>
  <si>
    <t>ALS236302</t>
  </si>
  <si>
    <t>ALS230103</t>
  </si>
  <si>
    <t>S230829038</t>
  </si>
  <si>
    <t xml:space="preserve">28446-47054401-L    </t>
  </si>
  <si>
    <t>Pipette LG Tip</t>
  </si>
  <si>
    <t>ALS236986</t>
  </si>
  <si>
    <t>1417813-7</t>
  </si>
  <si>
    <t>Toluene, ACS 4L</t>
  </si>
  <si>
    <t>6010114</t>
  </si>
  <si>
    <t>T3244</t>
  </si>
  <si>
    <t>toluene, ACS 4L</t>
  </si>
  <si>
    <t>KF Caps BiMetal Blue</t>
  </si>
  <si>
    <t>Soln S0771 N-2 Titrant</t>
  </si>
  <si>
    <t>6031067</t>
  </si>
  <si>
    <t>NALCAN</t>
  </si>
  <si>
    <t xml:space="preserve"> N-2 Titrant, 1L</t>
  </si>
  <si>
    <t>460-S0771</t>
  </si>
  <si>
    <t>M2020</t>
  </si>
  <si>
    <t>ALS237128</t>
  </si>
  <si>
    <t>AS3D0195</t>
  </si>
  <si>
    <t>ALS236300</t>
  </si>
  <si>
    <t>Water Standard 1%</t>
  </si>
  <si>
    <t>5009119</t>
  </si>
  <si>
    <t>water standard, 10.0 80ml</t>
  </si>
  <si>
    <t>N3380</t>
  </si>
  <si>
    <t>Coolant std 1201-10ug</t>
  </si>
  <si>
    <t>5009892</t>
  </si>
  <si>
    <t>custom multi, 1201-10ug/ml v24 100ml</t>
  </si>
  <si>
    <t>ZALSLAB1201-100</t>
  </si>
  <si>
    <t>Coolant std 1202-100ug/ml</t>
  </si>
  <si>
    <t>5009894</t>
  </si>
  <si>
    <t>custom multi, 1202-100µg/mL SM24 100ml</t>
  </si>
  <si>
    <t>SM24-100</t>
  </si>
  <si>
    <t>Coolant std 1203-2000ug/ml</t>
  </si>
  <si>
    <t>5009893</t>
  </si>
  <si>
    <t>custom multi, 1203-2000µg/mL(B, K, Mo) 100ml</t>
  </si>
  <si>
    <t>ZALSLAB1203-100</t>
  </si>
  <si>
    <t>Coolant std Sodium 5000ug/ml</t>
  </si>
  <si>
    <t>5009896</t>
  </si>
  <si>
    <t>custom sodium standard, 5000 µg/mL 100ml</t>
  </si>
  <si>
    <t>ZNA5000-500</t>
  </si>
  <si>
    <t>Coolant std, Glycol</t>
  </si>
  <si>
    <t>5009895</t>
  </si>
  <si>
    <t>coolant standard, glycol std 100ml</t>
  </si>
  <si>
    <t>GLYCOLSTD-100</t>
  </si>
  <si>
    <t>Coolant std, Beryllium</t>
  </si>
  <si>
    <t>5009898</t>
  </si>
  <si>
    <t>beryllium standard, 10000ug/ml 100ml</t>
  </si>
  <si>
    <t>TBEN-100</t>
  </si>
  <si>
    <t>1396842-6</t>
  </si>
  <si>
    <t>ALS236753</t>
  </si>
  <si>
    <t>1378815-5</t>
  </si>
  <si>
    <t>1400016-1</t>
  </si>
  <si>
    <t>Injector</t>
  </si>
  <si>
    <t>Nebulizer</t>
  </si>
  <si>
    <t>ALS237929</t>
  </si>
  <si>
    <t>23F2161010</t>
  </si>
  <si>
    <t>ALS238210</t>
  </si>
  <si>
    <t>ALS238216</t>
  </si>
  <si>
    <t>4P00012</t>
  </si>
  <si>
    <t>ALS238211</t>
  </si>
  <si>
    <t>TF</t>
  </si>
  <si>
    <t>ALS238209</t>
  </si>
  <si>
    <t>1420836-3</t>
  </si>
  <si>
    <t>1475298-1</t>
  </si>
  <si>
    <t>MA5-1000-400G</t>
  </si>
  <si>
    <t>5003394</t>
  </si>
  <si>
    <t>organometallic oil, 1000ug/g Ba Ca Mg P ZN 400g</t>
  </si>
  <si>
    <t>1390724-5</t>
  </si>
  <si>
    <t>ICP std MA5-1000-400G</t>
  </si>
  <si>
    <t>1ff</t>
  </si>
  <si>
    <t>ALS238973</t>
  </si>
  <si>
    <t>2406H98</t>
  </si>
  <si>
    <t>ALS239198</t>
  </si>
  <si>
    <t>ALS239860</t>
  </si>
  <si>
    <t>1297659-5</t>
  </si>
  <si>
    <t>1455633-2</t>
  </si>
  <si>
    <t>Disposable Pipette</t>
  </si>
  <si>
    <t>ALS240086</t>
  </si>
  <si>
    <t>ALS239839</t>
  </si>
  <si>
    <t>1475218-1</t>
  </si>
  <si>
    <t>23K1661011</t>
  </si>
  <si>
    <t>ALS240080</t>
  </si>
  <si>
    <t>ALS238212</t>
  </si>
  <si>
    <t>HC44902152</t>
  </si>
  <si>
    <t>ALS239439</t>
  </si>
  <si>
    <t>1043P00935</t>
  </si>
  <si>
    <t>O1280</t>
  </si>
  <si>
    <t>ALS241194</t>
  </si>
  <si>
    <t>4244988</t>
  </si>
  <si>
    <t>glove, nitrile 5mil blue powder free xlarge bx/100</t>
  </si>
  <si>
    <t>3006PF-XL</t>
  </si>
  <si>
    <t>box</t>
  </si>
  <si>
    <t>Glove (L)</t>
  </si>
  <si>
    <t>1043P01096</t>
  </si>
  <si>
    <t>1053P00041</t>
  </si>
  <si>
    <t>ALS241196</t>
  </si>
  <si>
    <t>cv</t>
  </si>
  <si>
    <t>1452095-3</t>
  </si>
  <si>
    <t>1345236-1</t>
  </si>
  <si>
    <t>BN std</t>
  </si>
  <si>
    <t>Heptane 4L</t>
  </si>
  <si>
    <t>ALS242106</t>
  </si>
  <si>
    <t>2411G19</t>
  </si>
  <si>
    <t>PP</t>
  </si>
  <si>
    <t>ALS242107</t>
  </si>
  <si>
    <t>1440742-1</t>
  </si>
  <si>
    <t>als242107</t>
  </si>
  <si>
    <t>1471807-1</t>
  </si>
  <si>
    <t>Sodium Acetate</t>
  </si>
  <si>
    <t>6031525</t>
  </si>
  <si>
    <t>sodium acetate, anhydrous acs 99% 500g</t>
  </si>
  <si>
    <t>CAJT3470-1</t>
  </si>
  <si>
    <t>ALS242108</t>
  </si>
  <si>
    <t>1053P00191</t>
  </si>
  <si>
    <t>ALS243032</t>
  </si>
  <si>
    <t>1043P02827</t>
  </si>
  <si>
    <t>SC</t>
  </si>
  <si>
    <t>AT</t>
  </si>
  <si>
    <t>O1560</t>
  </si>
  <si>
    <t>zx</t>
  </si>
  <si>
    <t>ALS243720</t>
  </si>
  <si>
    <t>1053P00716</t>
  </si>
  <si>
    <t>ALS243766</t>
  </si>
  <si>
    <t>pp</t>
  </si>
  <si>
    <t>1494982-3</t>
  </si>
  <si>
    <t>S250110026</t>
  </si>
  <si>
    <t>S241101004</t>
  </si>
  <si>
    <t>Glacial Acetic Acid</t>
  </si>
  <si>
    <t>6006647</t>
  </si>
  <si>
    <t xml:space="preserve">	acetic acid, acs glacial 4l</t>
  </si>
  <si>
    <t xml:space="preserve">	351269 4</t>
  </si>
  <si>
    <t>ZX</t>
  </si>
  <si>
    <t>ALS244014</t>
  </si>
  <si>
    <t>ALS243769</t>
  </si>
  <si>
    <t xml:space="preserve">1	</t>
  </si>
  <si>
    <t>jm</t>
  </si>
  <si>
    <t>1476505-1</t>
  </si>
  <si>
    <t>o1730</t>
  </si>
  <si>
    <t>ALS244679</t>
  </si>
  <si>
    <t>1536924-1</t>
  </si>
  <si>
    <t>O1730</t>
  </si>
  <si>
    <t>ALS245376</t>
  </si>
  <si>
    <t>ALS245372</t>
  </si>
  <si>
    <t>1053P00749</t>
  </si>
  <si>
    <t>PCnt std</t>
  </si>
  <si>
    <t>Backup</t>
  </si>
  <si>
    <t>ALS246030</t>
  </si>
  <si>
    <t>S250401027</t>
  </si>
  <si>
    <t>34D</t>
  </si>
  <si>
    <t>ALS246032</t>
  </si>
  <si>
    <t>ALS246756</t>
  </si>
  <si>
    <t>1501479-5</t>
  </si>
  <si>
    <t>ALS246754</t>
  </si>
  <si>
    <t>ALS246760</t>
  </si>
  <si>
    <t>25A0961018</t>
  </si>
  <si>
    <t>ALS24659</t>
  </si>
  <si>
    <t>1522945-7</t>
  </si>
  <si>
    <t>1053Q01762</t>
  </si>
  <si>
    <t>ALS246755</t>
  </si>
  <si>
    <t>ah</t>
  </si>
  <si>
    <t>P0490</t>
  </si>
  <si>
    <t>PCA20010010625</t>
  </si>
  <si>
    <t>HC45203952</t>
  </si>
  <si>
    <t>als246761</t>
  </si>
  <si>
    <t>S240903022</t>
  </si>
  <si>
    <t>HC56748752</t>
  </si>
  <si>
    <t>ALS246618</t>
  </si>
  <si>
    <t>1043Q03814</t>
  </si>
  <si>
    <t>PCA20010010600</t>
  </si>
  <si>
    <t>1053Q00532</t>
  </si>
  <si>
    <t>PCA20010011525</t>
  </si>
  <si>
    <t>1494982-5</t>
  </si>
  <si>
    <t>PCA20010011524</t>
  </si>
  <si>
    <t>1483545-6</t>
  </si>
  <si>
    <t>AS4C0232</t>
  </si>
  <si>
    <t>AH</t>
  </si>
  <si>
    <t>PCA20010011531</t>
  </si>
  <si>
    <t>AS4G0200</t>
  </si>
  <si>
    <t>PCA20010011526</t>
  </si>
  <si>
    <t>1043Q04170</t>
  </si>
  <si>
    <t>PCA20010012712</t>
  </si>
  <si>
    <t>PCA2001002712</t>
  </si>
  <si>
    <t>1053Q01722</t>
  </si>
  <si>
    <t>PCA20010012716</t>
  </si>
  <si>
    <t>1543725-2</t>
  </si>
  <si>
    <t>PCA20010012711</t>
  </si>
  <si>
    <t>1578246-2</t>
  </si>
  <si>
    <t>PCA20010012714</t>
  </si>
  <si>
    <t>ICP Std 5000</t>
  </si>
  <si>
    <t>each</t>
  </si>
  <si>
    <t>S250602008</t>
  </si>
  <si>
    <t>PCA20010012687</t>
  </si>
  <si>
    <t>P0790</t>
  </si>
  <si>
    <t>4509K16</t>
  </si>
  <si>
    <t xml:space="preserve">5007715	</t>
  </si>
  <si>
    <t>metals additives, MA5-5000-100G</t>
  </si>
  <si>
    <t>MA5-5000-100G</t>
  </si>
  <si>
    <t>S250615001</t>
  </si>
  <si>
    <t>1440742-17</t>
  </si>
  <si>
    <t>1043Q05218</t>
  </si>
  <si>
    <t>PCA20010013615</t>
  </si>
  <si>
    <t>1053Q02080</t>
  </si>
  <si>
    <t>1566767-3</t>
  </si>
  <si>
    <t>PCA20010013616</t>
  </si>
  <si>
    <t>pp/rr</t>
  </si>
  <si>
    <t>PCA20010013619</t>
  </si>
  <si>
    <t>PCA20010014723</t>
  </si>
  <si>
    <t>AS4M0168</t>
  </si>
  <si>
    <t>PCA2001001436</t>
  </si>
  <si>
    <t>1043Q06134</t>
  </si>
  <si>
    <t>PCA20010014722</t>
  </si>
  <si>
    <t>1053Q03721</t>
  </si>
  <si>
    <t>PCA2010014783</t>
  </si>
  <si>
    <t>1563450-2</t>
  </si>
  <si>
    <t>PCA20010014783</t>
  </si>
  <si>
    <t>1509724-11</t>
  </si>
  <si>
    <t>S250630030</t>
  </si>
  <si>
    <t>S250709001</t>
  </si>
  <si>
    <t>jr</t>
  </si>
  <si>
    <t>1043Q06572</t>
  </si>
  <si>
    <t>PCA20010015220</t>
  </si>
  <si>
    <t>1053Q02832</t>
  </si>
  <si>
    <t>1053Q04010</t>
  </si>
  <si>
    <t>S250926062</t>
  </si>
  <si>
    <t>PCA20010015578</t>
  </si>
  <si>
    <t>PCA20010015681</t>
  </si>
  <si>
    <t>PCA20010015683</t>
  </si>
  <si>
    <t>1569365-6</t>
  </si>
  <si>
    <t>PCA20010015637</t>
  </si>
  <si>
    <t>JL</t>
  </si>
  <si>
    <t>PCA20010016441</t>
  </si>
  <si>
    <t>PCA20010016446</t>
  </si>
  <si>
    <t>12-Jan-2026</t>
  </si>
  <si>
    <t>1043Q07309</t>
  </si>
  <si>
    <t>PCA20010016439</t>
  </si>
  <si>
    <t>S250919023</t>
  </si>
  <si>
    <t>PCA20010016472</t>
  </si>
  <si>
    <t>1539575-2</t>
  </si>
  <si>
    <t>PCA20010016444</t>
  </si>
  <si>
    <t>1596929-1</t>
  </si>
  <si>
    <t>PCA20010016927</t>
  </si>
  <si>
    <t>25H2761065</t>
  </si>
  <si>
    <t>PCA20010017516</t>
  </si>
  <si>
    <t>1575150-4</t>
  </si>
  <si>
    <t>PCA20010017572</t>
  </si>
  <si>
    <t>1569365-3</t>
  </si>
  <si>
    <t>1579074-3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</si>
</sst>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等线"/>
    </font>
    <font>
      <sz val="11"/>
      <color rgb="FF000000"/>
      <name val="Calibri"/>
      <family val="2"/>
      <scheme val="minor"/>
    </font>
    <font>
      <sz val="11"/>
      <color theme="1"/>
      <name val="IDAutomationHC39M"/>
      <family val="3"/>
    </font>
    <font>
      <sz val="11"/>
      <color rgb="FF000000"/>
      <name val="IDAutomationHC39M"/>
      <family val="3"/>
    </font>
    <font>
      <sz val="11"/>
      <color rgb="FF33333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15" fontId="0" fillId="0" borderId="0" xfId="0" applyNumberFormat="1"/>
    <xf numFmtId="0" fontId="0" fillId="0" borderId="0" xfId="0" applyAlignment="1">
      <alignment wrapText="1"/>
    </xf>
    <xf numFmtId="49" fontId="0" fillId="0" borderId="0" xfId="0" applyNumberFormat="1" applyAlignment="1">
      <alignment wrapText="1"/>
    </xf>
    <xf numFmtId="49" fontId="0" fillId="0" borderId="0" xfId="0" applyNumberFormat="1"/>
    <xf numFmtId="0" fontId="3" fillId="0" borderId="0" xfId="0" applyFont="1" applyAlignment="1">
      <alignment wrapText="1"/>
    </xf>
    <xf numFmtId="0" fontId="0" fillId="0" borderId="0" xfId="0" applyAlignment="1">
      <alignment horizontal="right" wrapText="1"/>
    </xf>
    <xf numFmtId="0" fontId="3" fillId="0" borderId="0" xfId="0" applyFont="1"/>
    <xf numFmtId="15" fontId="3" fillId="0" borderId="0" xfId="0" applyNumberFormat="1" applyFont="1" applyAlignment="1">
      <alignment wrapText="1"/>
    </xf>
    <xf numFmtId="49" fontId="3" fillId="0" borderId="0" xfId="0" applyNumberFormat="1" applyFont="1" applyAlignment="1">
      <alignment wrapText="1"/>
    </xf>
    <xf numFmtId="0" fontId="0" fillId="0" borderId="0" xfId="0" applyNumberFormat="1" applyAlignment="1">
      <alignment wrapText="1"/>
    </xf>
    <xf numFmtId="0" fontId="0" fillId="0" borderId="0" xfId="0" applyBorder="1"/>
    <xf numFmtId="49" fontId="0" fillId="0" borderId="0" xfId="0" applyNumberFormat="1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49" fontId="5" fillId="0" borderId="1" xfId="0" applyNumberFormat="1" applyFont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/>
    <xf numFmtId="49" fontId="0" fillId="0" borderId="1" xfId="0" applyNumberFormat="1" applyBorder="1"/>
    <xf numFmtId="0" fontId="0" fillId="0" borderId="0" xfId="0" applyNumberFormat="1"/>
    <xf numFmtId="16" fontId="0" fillId="0" borderId="0" xfId="0" applyNumberFormat="1"/>
    <xf numFmtId="49" fontId="0" fillId="0" borderId="0" xfId="0" applyNumberFormat="1" applyAlignment="1">
      <alignment vertical="top" wrapText="1"/>
    </xf>
    <xf numFmtId="0" fontId="6" fillId="0" borderId="0" xfId="0" applyFont="1" applyAlignment="1">
      <alignment horizontal="left"/>
    </xf>
    <xf numFmtId="0" fontId="0" fillId="0" borderId="0" xfId="0" applyFill="1"/>
    <xf numFmtId="49" fontId="0" fillId="0" borderId="0" xfId="0" applyNumberFormat="1" applyFill="1"/>
    <xf numFmtId="15" fontId="0" fillId="0" borderId="0" xfId="0" applyNumberFormat="1" applyFill="1"/>
    <xf numFmtId="0" fontId="0" fillId="0" borderId="0" xfId="0" applyFill="1" applyAlignment="1">
      <alignment wrapText="1"/>
    </xf>
    <xf numFmtId="49" fontId="0" fillId="0" borderId="0" xfId="0" applyNumberFormat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7</xdr:row>
          <xdr:rowOff>85725</xdr:rowOff>
        </xdr:from>
        <xdr:to>
          <xdr:col>10</xdr:col>
          <xdr:colOff>552450</xdr:colOff>
          <xdr:row>10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Lab Inventory System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4" Type="http://schemas.microsoft.com/office/2006/relationships/wsSortMap" Target="wsSortMa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4" Type="http://schemas.microsoft.com/office/2006/relationships/wsSortMap" Target="wsSortMa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microsoft.com/office/2006/relationships/wsSortMap" Target="wsSortMa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microsoft.com/office/2006/relationships/wsSortMap" Target="wsSortMa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4" Type="http://schemas.microsoft.com/office/2006/relationships/wsSortMap" Target="wsSortMa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0.bin"/><Relationship Id="rId2" Type="http://schemas.openxmlformats.org/officeDocument/2006/relationships/printerSettings" Target="../printerSettings/printerSettings29.bin"/><Relationship Id="rId1" Type="http://schemas.openxmlformats.org/officeDocument/2006/relationships/printerSettings" Target="../printerSettings/printerSettings2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6.bin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>
      <selection activeCell="J11" sqref="J11:O19"/>
    </sheetView>
  </sheetViews>
  <sheetFormatPr defaultRowHeight="14.25"/>
  <sheetData/>
  <customSheetViews>
    <customSheetView guid="{2D7AA37D-8C06-47FC-8F44-3FA6E78D04F2}">
      <selection activeCell="U15" sqref="U15"/>
      <pageMargins left="0.7" right="0.7" top="0.75" bottom="0.75" header="0.3" footer="0.3"/>
      <pageSetup orientation="portrait" r:id="rId1"/>
    </customSheetView>
    <customSheetView guid="{9C8ADCBA-1E8C-4961-B877-3E192DBDFA7A}" showPageBreaks="1">
      <selection activeCell="F15" sqref="F15"/>
      <pageMargins left="0.7" right="0.7" top="0.75" bottom="0.75" header="0.3" footer="0.3"/>
      <pageSetup orientation="portrait" r:id="rId2"/>
    </customSheetView>
  </customSheetViews>
  <phoneticPr fontId="1" type="noConversion"/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0]!Click">
                <anchor moveWithCells="1">
                  <from>
                    <xdr:col>6</xdr:col>
                    <xdr:colOff>495300</xdr:colOff>
                    <xdr:row>7</xdr:row>
                    <xdr:rowOff>85725</xdr:rowOff>
                  </from>
                  <to>
                    <xdr:col>10</xdr:col>
                    <xdr:colOff>552450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F513"/>
  <sheetViews>
    <sheetView workbookViewId="0">
      <selection activeCell="L8" sqref="L8"/>
    </sheetView>
  </sheetViews>
  <sheetFormatPr defaultRowHeight="14.25"/>
  <cols>
    <col min="4" max="4" width="11.3984375" customWidth="1"/>
    <col min="9" max="9" width="9.1328125" customWidth="1"/>
  </cols>
  <sheetData>
    <row r="1" spans="1:6">
      <c r="A1" t="s">
        <v>9</v>
      </c>
      <c r="B1" t="s">
        <v>4</v>
      </c>
      <c r="C1" t="s">
        <v>310</v>
      </c>
      <c r="D1" t="s">
        <v>311</v>
      </c>
      <c r="E1" t="s">
        <v>312</v>
      </c>
      <c r="F1" t="s">
        <v>530</v>
      </c>
    </row>
    <row r="2" spans="1:6">
      <c r="A2">
        <v>135</v>
      </c>
      <c r="B2" t="s">
        <v>832</v>
      </c>
      <c r="C2">
        <v>1</v>
      </c>
      <c r="D2" s="1">
        <v>44517</v>
      </c>
      <c r="E2">
        <v>952</v>
      </c>
      <c r="F2">
        <v>952</v>
      </c>
    </row>
    <row r="3" spans="1:6">
      <c r="A3">
        <v>115</v>
      </c>
      <c r="B3" t="s">
        <v>854</v>
      </c>
      <c r="C3">
        <v>1</v>
      </c>
      <c r="D3" s="1">
        <v>44657</v>
      </c>
      <c r="F3">
        <v>0</v>
      </c>
    </row>
    <row r="4" spans="1:6">
      <c r="A4">
        <v>1</v>
      </c>
      <c r="B4" t="s">
        <v>478</v>
      </c>
      <c r="C4">
        <v>1</v>
      </c>
      <c r="D4" s="1">
        <v>44936</v>
      </c>
      <c r="E4">
        <v>155.69999999999999</v>
      </c>
      <c r="F4">
        <v>155.69999999999999</v>
      </c>
    </row>
    <row r="5" spans="1:6">
      <c r="A5">
        <v>2</v>
      </c>
      <c r="B5" t="s">
        <v>315</v>
      </c>
      <c r="C5">
        <v>1</v>
      </c>
      <c r="D5" s="1">
        <v>44972</v>
      </c>
      <c r="E5">
        <v>153</v>
      </c>
      <c r="F5">
        <v>153</v>
      </c>
    </row>
    <row r="6" spans="1:6">
      <c r="A6">
        <v>114</v>
      </c>
      <c r="B6" t="s">
        <v>486</v>
      </c>
      <c r="C6">
        <v>1</v>
      </c>
      <c r="D6" s="1">
        <v>45017</v>
      </c>
      <c r="E6">
        <v>108.27</v>
      </c>
      <c r="F6">
        <v>108.27</v>
      </c>
    </row>
    <row r="7" spans="1:6">
      <c r="A7">
        <v>258</v>
      </c>
      <c r="B7" t="s">
        <v>830</v>
      </c>
      <c r="C7">
        <v>1</v>
      </c>
      <c r="D7" s="1">
        <v>45054</v>
      </c>
      <c r="E7">
        <v>354</v>
      </c>
      <c r="F7">
        <v>354</v>
      </c>
    </row>
    <row r="8" spans="1:6">
      <c r="A8">
        <v>3</v>
      </c>
      <c r="B8" t="s">
        <v>458</v>
      </c>
      <c r="C8">
        <v>1</v>
      </c>
      <c r="D8" s="1">
        <v>45071</v>
      </c>
      <c r="E8">
        <v>120</v>
      </c>
      <c r="F8">
        <v>120</v>
      </c>
    </row>
    <row r="9" spans="1:6">
      <c r="A9">
        <v>134</v>
      </c>
      <c r="B9" t="s">
        <v>819</v>
      </c>
      <c r="C9">
        <v>1</v>
      </c>
      <c r="D9" s="1">
        <v>45071</v>
      </c>
      <c r="E9">
        <v>120</v>
      </c>
      <c r="F9">
        <v>120</v>
      </c>
    </row>
    <row r="10" spans="1:6">
      <c r="A10">
        <v>4</v>
      </c>
      <c r="B10" t="s">
        <v>332</v>
      </c>
      <c r="C10">
        <v>1</v>
      </c>
      <c r="D10" s="1">
        <v>45075</v>
      </c>
      <c r="E10">
        <v>400</v>
      </c>
      <c r="F10">
        <v>400</v>
      </c>
    </row>
    <row r="11" spans="1:6">
      <c r="A11">
        <v>5</v>
      </c>
      <c r="B11" t="s">
        <v>53</v>
      </c>
      <c r="C11">
        <v>1</v>
      </c>
      <c r="D11" s="1">
        <v>45156</v>
      </c>
      <c r="E11">
        <v>24.75</v>
      </c>
      <c r="F11">
        <v>24.75</v>
      </c>
    </row>
    <row r="12" spans="1:6">
      <c r="A12">
        <v>6</v>
      </c>
      <c r="B12" t="s">
        <v>330</v>
      </c>
      <c r="C12">
        <v>1</v>
      </c>
      <c r="D12" s="1">
        <v>45156</v>
      </c>
      <c r="E12">
        <v>733.5</v>
      </c>
      <c r="F12">
        <v>733.5</v>
      </c>
    </row>
    <row r="13" spans="1:6">
      <c r="A13">
        <v>113</v>
      </c>
      <c r="B13" t="s">
        <v>484</v>
      </c>
      <c r="C13">
        <v>1</v>
      </c>
      <c r="D13" s="1">
        <v>45163</v>
      </c>
      <c r="E13">
        <v>92.7</v>
      </c>
      <c r="F13">
        <v>92.7</v>
      </c>
    </row>
    <row r="14" spans="1:6">
      <c r="A14">
        <v>7</v>
      </c>
      <c r="B14" t="s">
        <v>460</v>
      </c>
      <c r="C14">
        <v>1</v>
      </c>
      <c r="D14" s="1">
        <v>45175</v>
      </c>
      <c r="E14">
        <v>413.32</v>
      </c>
      <c r="F14">
        <v>413.32</v>
      </c>
    </row>
    <row r="15" spans="1:6">
      <c r="A15">
        <v>8</v>
      </c>
      <c r="B15" t="s">
        <v>455</v>
      </c>
      <c r="C15">
        <v>1</v>
      </c>
      <c r="D15" s="1">
        <v>45180</v>
      </c>
      <c r="E15">
        <v>80</v>
      </c>
      <c r="F15">
        <v>80</v>
      </c>
    </row>
    <row r="16" spans="1:6">
      <c r="A16">
        <v>9</v>
      </c>
      <c r="B16" t="s">
        <v>498</v>
      </c>
      <c r="C16">
        <v>1</v>
      </c>
      <c r="D16" s="1">
        <v>45181</v>
      </c>
      <c r="E16">
        <v>141</v>
      </c>
      <c r="F16">
        <v>141</v>
      </c>
    </row>
    <row r="17" spans="1:6">
      <c r="A17">
        <v>80</v>
      </c>
      <c r="B17" t="s">
        <v>461</v>
      </c>
      <c r="C17">
        <v>1</v>
      </c>
      <c r="D17" s="1">
        <v>45205</v>
      </c>
      <c r="E17">
        <v>74.06</v>
      </c>
      <c r="F17">
        <v>74.06</v>
      </c>
    </row>
    <row r="18" spans="1:6">
      <c r="A18">
        <v>10</v>
      </c>
      <c r="B18" t="s">
        <v>327</v>
      </c>
      <c r="C18">
        <v>1</v>
      </c>
      <c r="D18" s="1">
        <v>45219</v>
      </c>
      <c r="E18">
        <v>547.4</v>
      </c>
      <c r="F18">
        <v>547.4</v>
      </c>
    </row>
    <row r="19" spans="1:6">
      <c r="A19">
        <v>11</v>
      </c>
      <c r="B19" t="s">
        <v>471</v>
      </c>
      <c r="C19">
        <v>1</v>
      </c>
      <c r="D19" s="1">
        <v>45233</v>
      </c>
      <c r="E19">
        <v>316.44</v>
      </c>
      <c r="F19">
        <v>316.44</v>
      </c>
    </row>
    <row r="20" spans="1:6">
      <c r="A20">
        <v>12</v>
      </c>
      <c r="B20" t="s">
        <v>478</v>
      </c>
      <c r="C20">
        <v>1</v>
      </c>
      <c r="D20" s="1">
        <v>45234</v>
      </c>
      <c r="E20">
        <v>155.69999999999999</v>
      </c>
      <c r="F20">
        <v>155.69999999999999</v>
      </c>
    </row>
    <row r="21" spans="1:6">
      <c r="A21">
        <v>96</v>
      </c>
      <c r="B21" t="s">
        <v>490</v>
      </c>
      <c r="C21">
        <v>6</v>
      </c>
      <c r="D21" s="1">
        <v>45236</v>
      </c>
      <c r="E21">
        <v>70.289999999999992</v>
      </c>
      <c r="F21">
        <v>421.73999999999995</v>
      </c>
    </row>
    <row r="22" spans="1:6">
      <c r="A22">
        <v>146</v>
      </c>
      <c r="B22" t="s">
        <v>791</v>
      </c>
      <c r="C22">
        <v>1</v>
      </c>
      <c r="D22" s="1">
        <v>45236</v>
      </c>
      <c r="E22">
        <v>413.32</v>
      </c>
      <c r="F22">
        <v>413.32</v>
      </c>
    </row>
    <row r="23" spans="1:6">
      <c r="A23">
        <v>13</v>
      </c>
      <c r="B23" t="s">
        <v>427</v>
      </c>
      <c r="C23">
        <v>1</v>
      </c>
      <c r="D23" s="1">
        <v>45244</v>
      </c>
      <c r="E23">
        <v>130</v>
      </c>
      <c r="F23">
        <v>130</v>
      </c>
    </row>
    <row r="24" spans="1:6">
      <c r="A24">
        <v>14</v>
      </c>
      <c r="B24" t="s">
        <v>489</v>
      </c>
      <c r="C24">
        <v>1</v>
      </c>
      <c r="D24" s="1">
        <v>45246</v>
      </c>
      <c r="E24">
        <v>697.62</v>
      </c>
      <c r="F24">
        <v>697.62</v>
      </c>
    </row>
    <row r="25" spans="1:6">
      <c r="A25">
        <v>15</v>
      </c>
      <c r="B25" t="s">
        <v>478</v>
      </c>
      <c r="C25">
        <v>1</v>
      </c>
      <c r="D25" s="1">
        <v>45258</v>
      </c>
      <c r="E25">
        <v>155.69999999999999</v>
      </c>
      <c r="F25">
        <v>155.69999999999999</v>
      </c>
    </row>
    <row r="26" spans="1:6">
      <c r="A26">
        <v>16</v>
      </c>
      <c r="B26" t="s">
        <v>473</v>
      </c>
      <c r="C26">
        <v>1</v>
      </c>
      <c r="D26" s="1">
        <v>45258</v>
      </c>
      <c r="E26">
        <v>102.24</v>
      </c>
      <c r="F26">
        <v>102.24</v>
      </c>
    </row>
    <row r="27" spans="1:6">
      <c r="A27">
        <v>17</v>
      </c>
      <c r="B27" t="s">
        <v>471</v>
      </c>
      <c r="C27">
        <v>1</v>
      </c>
      <c r="D27" s="1">
        <v>45268</v>
      </c>
      <c r="E27">
        <v>316.44</v>
      </c>
      <c r="F27">
        <v>316.44</v>
      </c>
    </row>
    <row r="28" spans="1:6">
      <c r="A28">
        <v>18</v>
      </c>
      <c r="B28" t="s">
        <v>483</v>
      </c>
      <c r="C28">
        <v>1</v>
      </c>
      <c r="D28" s="1">
        <v>45268</v>
      </c>
      <c r="E28">
        <v>385</v>
      </c>
      <c r="F28">
        <v>385</v>
      </c>
    </row>
    <row r="29" spans="1:6">
      <c r="A29">
        <v>81</v>
      </c>
      <c r="B29" t="s">
        <v>461</v>
      </c>
      <c r="C29">
        <v>1</v>
      </c>
      <c r="D29" s="1">
        <v>45268</v>
      </c>
      <c r="E29">
        <v>74.06</v>
      </c>
      <c r="F29">
        <v>74.06</v>
      </c>
    </row>
    <row r="30" spans="1:6">
      <c r="A30">
        <v>19</v>
      </c>
      <c r="B30" t="s">
        <v>460</v>
      </c>
      <c r="C30">
        <v>1</v>
      </c>
      <c r="D30" s="1">
        <v>45271</v>
      </c>
      <c r="E30">
        <v>413.32</v>
      </c>
      <c r="F30">
        <v>413.32</v>
      </c>
    </row>
    <row r="31" spans="1:6">
      <c r="A31">
        <v>20</v>
      </c>
      <c r="B31" t="s">
        <v>466</v>
      </c>
      <c r="C31">
        <v>1</v>
      </c>
      <c r="D31" s="1">
        <v>45272</v>
      </c>
      <c r="E31">
        <v>390</v>
      </c>
      <c r="F31">
        <v>390</v>
      </c>
    </row>
    <row r="32" spans="1:6">
      <c r="A32">
        <v>21</v>
      </c>
      <c r="B32" t="s">
        <v>457</v>
      </c>
      <c r="C32">
        <v>1</v>
      </c>
      <c r="D32" s="1">
        <v>45274</v>
      </c>
      <c r="E32">
        <v>73.5</v>
      </c>
      <c r="F32">
        <v>73.5</v>
      </c>
    </row>
    <row r="33" spans="1:6">
      <c r="A33">
        <v>95</v>
      </c>
      <c r="B33" t="s">
        <v>463</v>
      </c>
      <c r="C33">
        <v>2</v>
      </c>
      <c r="D33" s="1">
        <v>45274</v>
      </c>
      <c r="E33">
        <v>28.5</v>
      </c>
      <c r="F33">
        <v>57</v>
      </c>
    </row>
    <row r="34" spans="1:6">
      <c r="A34">
        <v>129</v>
      </c>
      <c r="B34" t="s">
        <v>839</v>
      </c>
      <c r="C34">
        <v>2</v>
      </c>
      <c r="D34" s="1">
        <v>45274</v>
      </c>
      <c r="E34">
        <v>28.5</v>
      </c>
      <c r="F34">
        <v>57</v>
      </c>
    </row>
    <row r="35" spans="1:6">
      <c r="A35">
        <v>22</v>
      </c>
      <c r="B35" t="s">
        <v>467</v>
      </c>
      <c r="C35">
        <v>1</v>
      </c>
      <c r="D35" s="1">
        <v>45275</v>
      </c>
      <c r="E35">
        <v>1.8499999999999999</v>
      </c>
      <c r="F35">
        <v>1.8499999999999999</v>
      </c>
    </row>
    <row r="36" spans="1:6">
      <c r="A36">
        <v>23</v>
      </c>
      <c r="B36" t="s">
        <v>501</v>
      </c>
      <c r="C36">
        <v>1</v>
      </c>
      <c r="D36" s="1">
        <v>45280</v>
      </c>
      <c r="E36">
        <v>75</v>
      </c>
      <c r="F36">
        <v>75</v>
      </c>
    </row>
    <row r="37" spans="1:6">
      <c r="A37">
        <v>24</v>
      </c>
      <c r="B37" t="s">
        <v>505</v>
      </c>
      <c r="C37">
        <v>1</v>
      </c>
      <c r="D37" s="1">
        <v>45280</v>
      </c>
      <c r="E37">
        <v>393</v>
      </c>
      <c r="F37">
        <v>393</v>
      </c>
    </row>
    <row r="38" spans="1:6">
      <c r="A38">
        <v>25</v>
      </c>
      <c r="B38" t="s">
        <v>145</v>
      </c>
      <c r="C38">
        <v>2</v>
      </c>
      <c r="D38" s="1">
        <v>45280</v>
      </c>
      <c r="E38">
        <v>76.5</v>
      </c>
      <c r="F38">
        <v>153</v>
      </c>
    </row>
    <row r="39" spans="1:6">
      <c r="A39">
        <v>26</v>
      </c>
      <c r="B39" t="s">
        <v>456</v>
      </c>
      <c r="C39">
        <v>1</v>
      </c>
      <c r="D39" s="1">
        <v>45280</v>
      </c>
      <c r="E39">
        <v>176</v>
      </c>
      <c r="F39">
        <v>176</v>
      </c>
    </row>
    <row r="40" spans="1:6">
      <c r="A40">
        <v>27</v>
      </c>
      <c r="B40" t="s">
        <v>467</v>
      </c>
      <c r="C40">
        <v>8</v>
      </c>
      <c r="D40" s="1">
        <v>45280</v>
      </c>
      <c r="E40">
        <v>1.8499999999999999</v>
      </c>
      <c r="F40">
        <v>14.799999999999999</v>
      </c>
    </row>
    <row r="41" spans="1:6">
      <c r="A41">
        <v>28</v>
      </c>
      <c r="B41" t="s">
        <v>449</v>
      </c>
      <c r="C41">
        <v>64</v>
      </c>
      <c r="D41" s="1">
        <v>45280</v>
      </c>
      <c r="E41">
        <v>2.8</v>
      </c>
      <c r="F41">
        <v>179.2</v>
      </c>
    </row>
    <row r="42" spans="1:6">
      <c r="A42">
        <v>29</v>
      </c>
      <c r="B42" t="s">
        <v>479</v>
      </c>
      <c r="C42">
        <v>5</v>
      </c>
      <c r="D42" s="1">
        <v>45280</v>
      </c>
      <c r="E42">
        <v>2.9</v>
      </c>
      <c r="F42">
        <v>14.5</v>
      </c>
    </row>
    <row r="43" spans="1:6">
      <c r="A43">
        <v>30</v>
      </c>
      <c r="B43" t="s">
        <v>477</v>
      </c>
      <c r="C43">
        <v>6</v>
      </c>
      <c r="D43" s="1">
        <v>45280</v>
      </c>
      <c r="E43">
        <v>3.38</v>
      </c>
      <c r="F43">
        <v>20.28</v>
      </c>
    </row>
    <row r="44" spans="1:6">
      <c r="A44">
        <v>31</v>
      </c>
      <c r="B44" t="s">
        <v>469</v>
      </c>
      <c r="C44">
        <v>4</v>
      </c>
      <c r="D44" s="1">
        <v>45280</v>
      </c>
      <c r="E44">
        <v>7.95</v>
      </c>
      <c r="F44">
        <v>31.8</v>
      </c>
    </row>
    <row r="45" spans="1:6">
      <c r="A45">
        <v>32</v>
      </c>
      <c r="B45" t="s">
        <v>468</v>
      </c>
      <c r="C45">
        <v>10</v>
      </c>
      <c r="D45" s="1">
        <v>45280</v>
      </c>
      <c r="E45">
        <v>7.95</v>
      </c>
      <c r="F45">
        <v>79.5</v>
      </c>
    </row>
    <row r="46" spans="1:6">
      <c r="A46">
        <v>33</v>
      </c>
      <c r="B46" t="s">
        <v>491</v>
      </c>
      <c r="C46">
        <v>8</v>
      </c>
      <c r="D46" s="1">
        <v>45280</v>
      </c>
      <c r="E46">
        <v>8</v>
      </c>
      <c r="F46">
        <v>64</v>
      </c>
    </row>
    <row r="47" spans="1:6">
      <c r="A47">
        <v>34</v>
      </c>
      <c r="B47" t="s">
        <v>492</v>
      </c>
      <c r="C47">
        <v>1</v>
      </c>
      <c r="D47" s="1">
        <v>45280</v>
      </c>
      <c r="E47">
        <v>8.25</v>
      </c>
      <c r="F47">
        <v>8.25</v>
      </c>
    </row>
    <row r="48" spans="1:6">
      <c r="A48">
        <v>35</v>
      </c>
      <c r="B48" t="s">
        <v>500</v>
      </c>
      <c r="C48">
        <v>9</v>
      </c>
      <c r="D48" s="1">
        <v>45280</v>
      </c>
      <c r="E48">
        <v>12</v>
      </c>
      <c r="F48">
        <v>108</v>
      </c>
    </row>
    <row r="49" spans="1:6">
      <c r="A49">
        <v>36</v>
      </c>
      <c r="B49" t="s">
        <v>161</v>
      </c>
      <c r="C49">
        <v>4</v>
      </c>
      <c r="D49" s="1">
        <v>45280</v>
      </c>
      <c r="E49">
        <v>12.450000000000001</v>
      </c>
      <c r="F49">
        <v>49.800000000000004</v>
      </c>
    </row>
    <row r="50" spans="1:6">
      <c r="A50">
        <v>37</v>
      </c>
      <c r="B50" t="s">
        <v>487</v>
      </c>
      <c r="C50">
        <v>2</v>
      </c>
      <c r="D50" s="1">
        <v>45280</v>
      </c>
      <c r="E50">
        <v>22.36</v>
      </c>
      <c r="F50">
        <v>44.72</v>
      </c>
    </row>
    <row r="51" spans="1:6">
      <c r="A51">
        <v>38</v>
      </c>
      <c r="B51" t="s">
        <v>482</v>
      </c>
      <c r="C51">
        <v>1</v>
      </c>
      <c r="D51" s="1">
        <v>45280</v>
      </c>
      <c r="E51">
        <v>25</v>
      </c>
      <c r="F51">
        <v>175</v>
      </c>
    </row>
    <row r="52" spans="1:6">
      <c r="A52">
        <v>39</v>
      </c>
      <c r="B52" t="s">
        <v>495</v>
      </c>
      <c r="C52">
        <v>1</v>
      </c>
      <c r="D52" s="1">
        <v>45280</v>
      </c>
      <c r="E52">
        <v>140</v>
      </c>
      <c r="F52">
        <v>140</v>
      </c>
    </row>
    <row r="53" spans="1:6">
      <c r="A53">
        <v>40</v>
      </c>
      <c r="B53" t="s">
        <v>328</v>
      </c>
      <c r="C53">
        <v>7</v>
      </c>
      <c r="D53" s="1">
        <v>45281</v>
      </c>
      <c r="E53">
        <v>53.95</v>
      </c>
      <c r="F53">
        <v>377.65000000000003</v>
      </c>
    </row>
    <row r="54" spans="1:6">
      <c r="A54">
        <v>41</v>
      </c>
      <c r="B54" t="s">
        <v>333</v>
      </c>
      <c r="C54">
        <v>1</v>
      </c>
      <c r="D54" s="1">
        <v>45281</v>
      </c>
      <c r="E54">
        <v>67.25</v>
      </c>
      <c r="F54">
        <v>67.25</v>
      </c>
    </row>
    <row r="55" spans="1:6">
      <c r="A55">
        <v>42</v>
      </c>
      <c r="B55" t="s">
        <v>117</v>
      </c>
      <c r="C55">
        <v>1</v>
      </c>
      <c r="D55" s="1">
        <v>45281</v>
      </c>
      <c r="E55">
        <v>144</v>
      </c>
      <c r="F55">
        <v>144</v>
      </c>
    </row>
    <row r="56" spans="1:6">
      <c r="A56">
        <v>43</v>
      </c>
      <c r="B56" t="s">
        <v>504</v>
      </c>
      <c r="C56">
        <v>1</v>
      </c>
      <c r="D56" s="1">
        <v>45281</v>
      </c>
      <c r="E56">
        <v>232.26</v>
      </c>
      <c r="F56">
        <v>232.26</v>
      </c>
    </row>
    <row r="57" spans="1:6">
      <c r="A57">
        <v>44</v>
      </c>
      <c r="B57" t="s">
        <v>476</v>
      </c>
      <c r="C57">
        <v>5</v>
      </c>
      <c r="D57" s="1">
        <v>45281</v>
      </c>
      <c r="E57">
        <v>24.1</v>
      </c>
      <c r="F57">
        <v>120.5</v>
      </c>
    </row>
    <row r="58" spans="1:6">
      <c r="A58">
        <v>45</v>
      </c>
      <c r="B58" t="s">
        <v>475</v>
      </c>
      <c r="C58">
        <v>3</v>
      </c>
      <c r="D58" s="1">
        <v>45281</v>
      </c>
      <c r="E58">
        <v>35.75</v>
      </c>
      <c r="F58">
        <v>107.25</v>
      </c>
    </row>
    <row r="59" spans="1:6">
      <c r="A59">
        <v>46</v>
      </c>
      <c r="B59" t="s">
        <v>439</v>
      </c>
      <c r="C59">
        <v>1</v>
      </c>
      <c r="D59" s="1">
        <v>45281</v>
      </c>
      <c r="E59">
        <v>411</v>
      </c>
      <c r="F59">
        <v>411</v>
      </c>
    </row>
    <row r="60" spans="1:6">
      <c r="A60">
        <v>47</v>
      </c>
      <c r="B60" t="s">
        <v>480</v>
      </c>
      <c r="C60">
        <v>1</v>
      </c>
      <c r="D60" s="1">
        <v>45281</v>
      </c>
      <c r="E60">
        <v>106.41</v>
      </c>
      <c r="F60">
        <v>106.41</v>
      </c>
    </row>
    <row r="61" spans="1:6">
      <c r="A61">
        <v>48</v>
      </c>
      <c r="B61" t="s">
        <v>499</v>
      </c>
      <c r="C61">
        <v>8</v>
      </c>
      <c r="D61" s="1">
        <v>45281</v>
      </c>
      <c r="E61">
        <v>124.25</v>
      </c>
      <c r="F61">
        <v>994</v>
      </c>
    </row>
    <row r="62" spans="1:6">
      <c r="A62">
        <v>49</v>
      </c>
      <c r="B62" t="s">
        <v>465</v>
      </c>
      <c r="C62">
        <v>1</v>
      </c>
      <c r="D62" s="1">
        <v>45281</v>
      </c>
      <c r="E62">
        <v>906.63</v>
      </c>
      <c r="F62">
        <v>906.63</v>
      </c>
    </row>
    <row r="63" spans="1:6">
      <c r="A63">
        <v>50</v>
      </c>
      <c r="B63" t="s">
        <v>423</v>
      </c>
      <c r="C63">
        <v>1</v>
      </c>
      <c r="D63" s="1">
        <v>45294</v>
      </c>
      <c r="E63">
        <v>560.78</v>
      </c>
      <c r="F63">
        <v>560.78</v>
      </c>
    </row>
    <row r="64" spans="1:6">
      <c r="A64">
        <v>51</v>
      </c>
      <c r="B64" t="s">
        <v>459</v>
      </c>
      <c r="C64">
        <v>1</v>
      </c>
      <c r="D64" s="1">
        <v>45294</v>
      </c>
      <c r="E64">
        <v>776.9</v>
      </c>
      <c r="F64">
        <v>776.9</v>
      </c>
    </row>
    <row r="65" spans="1:6">
      <c r="A65">
        <v>52</v>
      </c>
      <c r="B65" t="s">
        <v>327</v>
      </c>
      <c r="C65">
        <v>1</v>
      </c>
      <c r="D65" s="1">
        <v>45294</v>
      </c>
      <c r="E65">
        <v>547.4</v>
      </c>
      <c r="F65">
        <v>547.4</v>
      </c>
    </row>
    <row r="66" spans="1:6">
      <c r="A66">
        <v>53</v>
      </c>
      <c r="B66" t="s">
        <v>328</v>
      </c>
      <c r="C66">
        <v>10</v>
      </c>
      <c r="D66" s="1">
        <v>45295</v>
      </c>
      <c r="E66">
        <v>53.95</v>
      </c>
      <c r="F66">
        <v>539.5</v>
      </c>
    </row>
    <row r="67" spans="1:6">
      <c r="A67">
        <v>132</v>
      </c>
      <c r="B67" t="s">
        <v>866</v>
      </c>
      <c r="C67">
        <v>1</v>
      </c>
      <c r="D67" s="1">
        <v>45295</v>
      </c>
      <c r="E67">
        <v>497.92</v>
      </c>
      <c r="F67">
        <v>497.92</v>
      </c>
    </row>
    <row r="68" spans="1:6">
      <c r="A68">
        <v>133</v>
      </c>
      <c r="B68" t="s">
        <v>866</v>
      </c>
      <c r="C68">
        <v>1</v>
      </c>
      <c r="D68" s="1">
        <v>45295</v>
      </c>
      <c r="E68">
        <v>497.92</v>
      </c>
      <c r="F68">
        <v>497.92</v>
      </c>
    </row>
    <row r="69" spans="1:6">
      <c r="A69">
        <v>54</v>
      </c>
      <c r="B69" t="s">
        <v>457</v>
      </c>
      <c r="C69">
        <v>2</v>
      </c>
      <c r="D69" s="1">
        <v>45299</v>
      </c>
      <c r="E69">
        <v>73.5</v>
      </c>
      <c r="F69">
        <v>147</v>
      </c>
    </row>
    <row r="70" spans="1:6">
      <c r="A70">
        <v>55</v>
      </c>
      <c r="B70" t="s">
        <v>455</v>
      </c>
      <c r="C70">
        <v>1</v>
      </c>
      <c r="D70" s="1">
        <v>45299</v>
      </c>
      <c r="E70">
        <v>80</v>
      </c>
      <c r="F70">
        <v>80</v>
      </c>
    </row>
    <row r="71" spans="1:6">
      <c r="A71">
        <v>56</v>
      </c>
      <c r="B71" t="s">
        <v>469</v>
      </c>
      <c r="C71">
        <v>20</v>
      </c>
      <c r="D71" s="1">
        <v>45300</v>
      </c>
      <c r="E71">
        <v>7.95</v>
      </c>
      <c r="F71">
        <v>159</v>
      </c>
    </row>
    <row r="72" spans="1:6">
      <c r="A72">
        <v>57</v>
      </c>
      <c r="B72" t="s">
        <v>476</v>
      </c>
      <c r="C72">
        <v>10</v>
      </c>
      <c r="D72" s="1">
        <v>45300</v>
      </c>
      <c r="E72">
        <v>24.1</v>
      </c>
      <c r="F72">
        <v>241</v>
      </c>
    </row>
    <row r="73" spans="1:6">
      <c r="A73">
        <v>58</v>
      </c>
      <c r="B73" t="s">
        <v>475</v>
      </c>
      <c r="C73">
        <v>10</v>
      </c>
      <c r="D73" s="1">
        <v>45300</v>
      </c>
      <c r="E73">
        <v>35.75</v>
      </c>
      <c r="F73">
        <v>357.5</v>
      </c>
    </row>
    <row r="74" spans="1:6">
      <c r="A74">
        <v>59</v>
      </c>
      <c r="B74" t="s">
        <v>425</v>
      </c>
      <c r="C74">
        <v>5</v>
      </c>
      <c r="D74" s="1">
        <v>45300</v>
      </c>
      <c r="E74">
        <v>6.1</v>
      </c>
      <c r="F74">
        <v>30.5</v>
      </c>
    </row>
    <row r="75" spans="1:6">
      <c r="A75">
        <v>60</v>
      </c>
      <c r="B75" t="s">
        <v>333</v>
      </c>
      <c r="C75">
        <v>1</v>
      </c>
      <c r="D75" s="1">
        <v>45300</v>
      </c>
      <c r="E75">
        <v>67.25</v>
      </c>
      <c r="F75">
        <v>67.25</v>
      </c>
    </row>
    <row r="76" spans="1:6">
      <c r="A76">
        <v>61</v>
      </c>
      <c r="B76" t="s">
        <v>49</v>
      </c>
      <c r="C76">
        <v>1</v>
      </c>
      <c r="D76" s="1">
        <v>45300</v>
      </c>
      <c r="E76">
        <v>31</v>
      </c>
      <c r="F76">
        <v>31</v>
      </c>
    </row>
    <row r="77" spans="1:6">
      <c r="A77">
        <v>62</v>
      </c>
      <c r="B77" t="s">
        <v>337</v>
      </c>
      <c r="C77">
        <v>1</v>
      </c>
      <c r="D77" s="1">
        <v>45300</v>
      </c>
      <c r="E77">
        <v>31</v>
      </c>
      <c r="F77">
        <v>31</v>
      </c>
    </row>
    <row r="78" spans="1:6">
      <c r="A78">
        <v>63</v>
      </c>
      <c r="B78" t="s">
        <v>487</v>
      </c>
      <c r="C78">
        <v>3</v>
      </c>
      <c r="D78" s="1">
        <v>45300</v>
      </c>
      <c r="E78">
        <v>22.36</v>
      </c>
      <c r="F78">
        <v>67.08</v>
      </c>
    </row>
    <row r="79" spans="1:6">
      <c r="A79">
        <v>64</v>
      </c>
      <c r="B79" t="s">
        <v>336</v>
      </c>
      <c r="C79">
        <v>1</v>
      </c>
      <c r="D79" s="1">
        <v>45300</v>
      </c>
      <c r="E79">
        <v>321</v>
      </c>
      <c r="F79">
        <v>321</v>
      </c>
    </row>
    <row r="80" spans="1:6">
      <c r="A80">
        <v>65</v>
      </c>
      <c r="B80" t="s">
        <v>505</v>
      </c>
      <c r="C80">
        <v>1</v>
      </c>
      <c r="D80" s="1">
        <v>45300</v>
      </c>
      <c r="E80">
        <v>393</v>
      </c>
      <c r="F80">
        <v>393</v>
      </c>
    </row>
    <row r="81" spans="1:6">
      <c r="A81">
        <v>66</v>
      </c>
      <c r="B81" t="s">
        <v>743</v>
      </c>
      <c r="C81">
        <v>2</v>
      </c>
      <c r="D81" s="1">
        <v>45300</v>
      </c>
      <c r="E81">
        <v>119</v>
      </c>
      <c r="F81">
        <v>238</v>
      </c>
    </row>
    <row r="82" spans="1:6">
      <c r="A82">
        <v>67</v>
      </c>
      <c r="B82" t="s">
        <v>471</v>
      </c>
      <c r="C82">
        <v>1</v>
      </c>
      <c r="D82" s="1">
        <v>45300</v>
      </c>
      <c r="E82">
        <v>316.44</v>
      </c>
      <c r="F82">
        <v>316.44</v>
      </c>
    </row>
    <row r="83" spans="1:6">
      <c r="A83">
        <v>68</v>
      </c>
      <c r="B83" t="s">
        <v>314</v>
      </c>
      <c r="C83">
        <v>1</v>
      </c>
      <c r="D83" s="1">
        <v>45300</v>
      </c>
      <c r="E83">
        <v>268.95999999999998</v>
      </c>
      <c r="F83">
        <v>268.95999999999998</v>
      </c>
    </row>
    <row r="84" spans="1:6">
      <c r="A84">
        <v>180</v>
      </c>
      <c r="B84" t="s">
        <v>821</v>
      </c>
      <c r="C84">
        <v>1</v>
      </c>
      <c r="D84" s="1">
        <v>45300</v>
      </c>
      <c r="E84">
        <v>119</v>
      </c>
      <c r="F84">
        <v>119</v>
      </c>
    </row>
    <row r="85" spans="1:6">
      <c r="A85">
        <v>69</v>
      </c>
      <c r="B85" t="s">
        <v>759</v>
      </c>
      <c r="C85">
        <v>2</v>
      </c>
      <c r="D85" s="1">
        <v>45317</v>
      </c>
      <c r="E85">
        <v>76.58</v>
      </c>
      <c r="F85">
        <v>153.16</v>
      </c>
    </row>
    <row r="86" spans="1:6">
      <c r="A86">
        <v>70</v>
      </c>
      <c r="B86" t="s">
        <v>485</v>
      </c>
      <c r="C86">
        <v>1</v>
      </c>
      <c r="D86" s="1">
        <v>45327</v>
      </c>
      <c r="E86">
        <v>111.4</v>
      </c>
      <c r="F86">
        <v>111.4</v>
      </c>
    </row>
    <row r="87" spans="1:6">
      <c r="A87">
        <v>71</v>
      </c>
      <c r="B87" t="s">
        <v>473</v>
      </c>
      <c r="C87">
        <v>1</v>
      </c>
      <c r="D87" s="1">
        <v>45329</v>
      </c>
      <c r="E87">
        <v>102.24</v>
      </c>
      <c r="F87">
        <v>102.24</v>
      </c>
    </row>
    <row r="88" spans="1:6">
      <c r="A88">
        <v>72</v>
      </c>
      <c r="B88" t="s">
        <v>459</v>
      </c>
      <c r="C88">
        <v>1</v>
      </c>
      <c r="D88" s="1">
        <v>45329</v>
      </c>
      <c r="E88">
        <v>776.9</v>
      </c>
      <c r="F88">
        <v>776.9</v>
      </c>
    </row>
    <row r="89" spans="1:6">
      <c r="A89">
        <v>73</v>
      </c>
      <c r="B89" t="s">
        <v>333</v>
      </c>
      <c r="C89">
        <v>5</v>
      </c>
      <c r="D89" s="1">
        <v>45330</v>
      </c>
      <c r="E89">
        <v>67.25</v>
      </c>
      <c r="F89">
        <v>336.25</v>
      </c>
    </row>
    <row r="90" spans="1:6">
      <c r="A90">
        <v>74</v>
      </c>
      <c r="B90" t="s">
        <v>328</v>
      </c>
      <c r="C90">
        <v>6</v>
      </c>
      <c r="D90" s="1">
        <v>45330</v>
      </c>
      <c r="E90">
        <v>53.95</v>
      </c>
      <c r="F90">
        <v>323.70000000000005</v>
      </c>
    </row>
    <row r="91" spans="1:6">
      <c r="A91">
        <v>75</v>
      </c>
      <c r="B91" t="s">
        <v>337</v>
      </c>
      <c r="C91">
        <v>1</v>
      </c>
      <c r="D91" s="1">
        <v>45330</v>
      </c>
      <c r="E91">
        <v>31</v>
      </c>
      <c r="F91">
        <v>31</v>
      </c>
    </row>
    <row r="92" spans="1:6">
      <c r="A92">
        <v>76</v>
      </c>
      <c r="B92" t="s">
        <v>476</v>
      </c>
      <c r="C92">
        <v>10</v>
      </c>
      <c r="D92" s="1">
        <v>45330</v>
      </c>
      <c r="E92">
        <v>24.1</v>
      </c>
      <c r="F92">
        <v>241</v>
      </c>
    </row>
    <row r="93" spans="1:6">
      <c r="A93">
        <v>77</v>
      </c>
      <c r="B93" t="s">
        <v>475</v>
      </c>
      <c r="C93">
        <v>10</v>
      </c>
      <c r="D93" s="1">
        <v>45331</v>
      </c>
      <c r="E93">
        <v>35.75</v>
      </c>
      <c r="F93">
        <v>357.5</v>
      </c>
    </row>
    <row r="94" spans="1:6">
      <c r="A94">
        <v>90</v>
      </c>
      <c r="B94" t="s">
        <v>423</v>
      </c>
      <c r="C94">
        <v>1</v>
      </c>
      <c r="D94" s="1">
        <v>45334</v>
      </c>
      <c r="E94">
        <v>560.78</v>
      </c>
      <c r="F94">
        <v>560.78</v>
      </c>
    </row>
    <row r="95" spans="1:6">
      <c r="A95">
        <v>91</v>
      </c>
      <c r="B95" t="s">
        <v>455</v>
      </c>
      <c r="C95">
        <v>1</v>
      </c>
      <c r="D95" s="1">
        <v>45334</v>
      </c>
      <c r="E95">
        <v>80</v>
      </c>
      <c r="F95">
        <v>80</v>
      </c>
    </row>
    <row r="96" spans="1:6">
      <c r="A96">
        <v>136</v>
      </c>
      <c r="B96" t="s">
        <v>483</v>
      </c>
      <c r="C96">
        <v>1</v>
      </c>
      <c r="D96" s="1">
        <v>45334</v>
      </c>
      <c r="E96">
        <v>385</v>
      </c>
      <c r="F96">
        <v>385</v>
      </c>
    </row>
    <row r="97" spans="1:6">
      <c r="A97">
        <v>78</v>
      </c>
      <c r="B97" t="s">
        <v>53</v>
      </c>
      <c r="C97">
        <v>1</v>
      </c>
      <c r="D97" s="1">
        <v>45337</v>
      </c>
      <c r="E97">
        <v>24.75</v>
      </c>
      <c r="F97">
        <v>24.75</v>
      </c>
    </row>
    <row r="98" spans="1:6">
      <c r="A98">
        <v>79</v>
      </c>
      <c r="B98" t="s">
        <v>457</v>
      </c>
      <c r="C98">
        <v>1</v>
      </c>
      <c r="D98" s="1">
        <v>45337</v>
      </c>
      <c r="E98">
        <v>73.5</v>
      </c>
      <c r="F98">
        <v>73.5</v>
      </c>
    </row>
    <row r="99" spans="1:6">
      <c r="A99">
        <v>82</v>
      </c>
      <c r="B99" t="s">
        <v>471</v>
      </c>
      <c r="C99">
        <v>1</v>
      </c>
      <c r="D99" s="1">
        <v>45356</v>
      </c>
      <c r="E99">
        <v>316.44</v>
      </c>
      <c r="F99">
        <v>316.44</v>
      </c>
    </row>
    <row r="100" spans="1:6">
      <c r="A100">
        <v>83</v>
      </c>
      <c r="B100" t="s">
        <v>772</v>
      </c>
      <c r="C100">
        <v>2</v>
      </c>
      <c r="D100" s="1">
        <v>45356</v>
      </c>
      <c r="E100">
        <v>34.69</v>
      </c>
      <c r="F100">
        <v>69.38</v>
      </c>
    </row>
    <row r="101" spans="1:6">
      <c r="A101">
        <v>84</v>
      </c>
      <c r="B101" t="s">
        <v>459</v>
      </c>
      <c r="C101">
        <v>1</v>
      </c>
      <c r="D101" s="1">
        <v>45357</v>
      </c>
      <c r="E101">
        <v>776.9</v>
      </c>
      <c r="F101">
        <v>776.9</v>
      </c>
    </row>
    <row r="102" spans="1:6">
      <c r="A102">
        <v>85</v>
      </c>
      <c r="B102" t="s">
        <v>327</v>
      </c>
      <c r="C102">
        <v>1</v>
      </c>
      <c r="D102" s="1">
        <v>45357</v>
      </c>
      <c r="E102">
        <v>547.4</v>
      </c>
      <c r="F102">
        <v>547.4</v>
      </c>
    </row>
    <row r="103" spans="1:6">
      <c r="A103">
        <v>86</v>
      </c>
      <c r="B103" t="s">
        <v>500</v>
      </c>
      <c r="C103">
        <v>8</v>
      </c>
      <c r="D103" s="1">
        <v>45357</v>
      </c>
      <c r="E103">
        <v>12</v>
      </c>
      <c r="F103">
        <v>96</v>
      </c>
    </row>
    <row r="104" spans="1:6">
      <c r="A104">
        <v>87</v>
      </c>
      <c r="B104" t="s">
        <v>468</v>
      </c>
      <c r="C104">
        <v>10</v>
      </c>
      <c r="D104" s="1">
        <v>45359</v>
      </c>
      <c r="E104">
        <v>7.95</v>
      </c>
      <c r="F104">
        <v>79.5</v>
      </c>
    </row>
    <row r="105" spans="1:6">
      <c r="A105">
        <v>88</v>
      </c>
      <c r="B105" t="s">
        <v>333</v>
      </c>
      <c r="C105">
        <v>5</v>
      </c>
      <c r="D105" s="1">
        <v>45359</v>
      </c>
      <c r="E105">
        <v>67.25</v>
      </c>
      <c r="F105">
        <v>336.25</v>
      </c>
    </row>
    <row r="106" spans="1:6">
      <c r="A106">
        <v>89</v>
      </c>
      <c r="B106" t="s">
        <v>328</v>
      </c>
      <c r="C106">
        <v>5</v>
      </c>
      <c r="D106" s="1">
        <v>45359</v>
      </c>
      <c r="E106">
        <v>53.95</v>
      </c>
      <c r="F106">
        <v>269.75</v>
      </c>
    </row>
    <row r="107" spans="1:6">
      <c r="A107">
        <v>92</v>
      </c>
      <c r="B107" t="s">
        <v>455</v>
      </c>
      <c r="C107">
        <v>1</v>
      </c>
      <c r="D107" s="1">
        <v>45362</v>
      </c>
      <c r="E107">
        <v>80</v>
      </c>
      <c r="F107">
        <v>80</v>
      </c>
    </row>
    <row r="108" spans="1:6">
      <c r="A108">
        <v>93</v>
      </c>
      <c r="B108" t="s">
        <v>475</v>
      </c>
      <c r="C108">
        <v>9</v>
      </c>
      <c r="D108" s="1">
        <v>45362</v>
      </c>
      <c r="E108">
        <v>35.75</v>
      </c>
      <c r="F108">
        <v>321.75</v>
      </c>
    </row>
    <row r="109" spans="1:6">
      <c r="A109">
        <v>94</v>
      </c>
      <c r="B109" t="s">
        <v>476</v>
      </c>
      <c r="C109">
        <v>10</v>
      </c>
      <c r="D109" s="1">
        <v>45364</v>
      </c>
      <c r="E109">
        <v>24.1</v>
      </c>
      <c r="F109">
        <v>241</v>
      </c>
    </row>
    <row r="110" spans="1:6">
      <c r="A110">
        <v>97</v>
      </c>
      <c r="B110" t="s">
        <v>790</v>
      </c>
      <c r="C110">
        <v>2</v>
      </c>
      <c r="D110" s="1">
        <v>45371</v>
      </c>
      <c r="E110">
        <v>391</v>
      </c>
      <c r="F110">
        <v>782</v>
      </c>
    </row>
    <row r="111" spans="1:6">
      <c r="A111">
        <v>165</v>
      </c>
      <c r="B111" t="s">
        <v>472</v>
      </c>
      <c r="C111">
        <v>1</v>
      </c>
      <c r="D111" s="1">
        <v>45386</v>
      </c>
      <c r="E111">
        <v>180</v>
      </c>
      <c r="F111">
        <v>180</v>
      </c>
    </row>
    <row r="112" spans="1:6">
      <c r="A112">
        <v>98</v>
      </c>
      <c r="B112" t="s">
        <v>477</v>
      </c>
      <c r="C112">
        <v>10</v>
      </c>
      <c r="D112" s="1">
        <v>45390</v>
      </c>
      <c r="E112">
        <v>3.38</v>
      </c>
      <c r="F112">
        <v>33.799999999999997</v>
      </c>
    </row>
    <row r="113" spans="1:6">
      <c r="A113">
        <v>99</v>
      </c>
      <c r="B113" t="s">
        <v>843</v>
      </c>
      <c r="C113">
        <v>3</v>
      </c>
      <c r="D113" s="1">
        <v>45390</v>
      </c>
      <c r="E113">
        <v>6.49</v>
      </c>
      <c r="F113">
        <v>19.47</v>
      </c>
    </row>
    <row r="114" spans="1:6">
      <c r="A114">
        <v>112</v>
      </c>
      <c r="B114" t="s">
        <v>825</v>
      </c>
      <c r="C114">
        <v>1</v>
      </c>
      <c r="D114" s="1">
        <v>45390</v>
      </c>
      <c r="E114">
        <v>122.3</v>
      </c>
      <c r="F114">
        <v>122.3</v>
      </c>
    </row>
    <row r="115" spans="1:6">
      <c r="A115">
        <v>100</v>
      </c>
      <c r="B115" t="s">
        <v>824</v>
      </c>
      <c r="C115">
        <v>10</v>
      </c>
      <c r="D115" s="1">
        <v>45392</v>
      </c>
      <c r="E115">
        <v>35.75</v>
      </c>
      <c r="F115">
        <v>357.5</v>
      </c>
    </row>
    <row r="116" spans="1:6">
      <c r="A116">
        <v>101</v>
      </c>
      <c r="B116" t="s">
        <v>800</v>
      </c>
      <c r="C116">
        <v>10</v>
      </c>
      <c r="D116" s="1">
        <v>45392</v>
      </c>
      <c r="E116">
        <v>24.1</v>
      </c>
      <c r="F116">
        <v>241</v>
      </c>
    </row>
    <row r="117" spans="1:6">
      <c r="A117">
        <v>102</v>
      </c>
      <c r="B117" t="s">
        <v>471</v>
      </c>
      <c r="C117">
        <v>1</v>
      </c>
      <c r="D117" s="1">
        <v>45392</v>
      </c>
      <c r="E117">
        <v>316.44</v>
      </c>
      <c r="F117">
        <v>316.44</v>
      </c>
    </row>
    <row r="118" spans="1:6">
      <c r="A118">
        <v>103</v>
      </c>
      <c r="B118" t="s">
        <v>424</v>
      </c>
      <c r="C118">
        <v>1</v>
      </c>
      <c r="D118" s="1">
        <v>45394</v>
      </c>
      <c r="E118">
        <v>560.78</v>
      </c>
      <c r="F118">
        <v>560.78</v>
      </c>
    </row>
    <row r="119" spans="1:6">
      <c r="A119">
        <v>104</v>
      </c>
      <c r="B119" t="s">
        <v>327</v>
      </c>
      <c r="C119">
        <v>1</v>
      </c>
      <c r="D119" s="1">
        <v>45394</v>
      </c>
      <c r="E119">
        <v>547.4</v>
      </c>
      <c r="F119">
        <v>547.4</v>
      </c>
    </row>
    <row r="120" spans="1:6">
      <c r="A120">
        <v>105</v>
      </c>
      <c r="B120" t="s">
        <v>829</v>
      </c>
      <c r="C120">
        <v>1</v>
      </c>
      <c r="D120" s="1">
        <v>45398</v>
      </c>
      <c r="E120">
        <v>304.5</v>
      </c>
      <c r="F120">
        <v>304.5</v>
      </c>
    </row>
    <row r="121" spans="1:6">
      <c r="A121">
        <v>106</v>
      </c>
      <c r="B121" t="s">
        <v>803</v>
      </c>
      <c r="C121">
        <v>5</v>
      </c>
      <c r="D121" s="1">
        <v>45401</v>
      </c>
      <c r="E121">
        <v>53.95</v>
      </c>
      <c r="F121">
        <v>269.75</v>
      </c>
    </row>
    <row r="122" spans="1:6">
      <c r="A122">
        <v>107</v>
      </c>
      <c r="B122" t="s">
        <v>827</v>
      </c>
      <c r="C122">
        <v>1</v>
      </c>
      <c r="D122" s="1">
        <v>45401</v>
      </c>
      <c r="E122">
        <v>31</v>
      </c>
      <c r="F122">
        <v>31</v>
      </c>
    </row>
    <row r="123" spans="1:6">
      <c r="A123">
        <v>108</v>
      </c>
      <c r="B123" t="s">
        <v>827</v>
      </c>
      <c r="C123">
        <v>2</v>
      </c>
      <c r="D123" s="1">
        <v>45401</v>
      </c>
      <c r="E123">
        <v>31</v>
      </c>
      <c r="F123">
        <v>62</v>
      </c>
    </row>
    <row r="124" spans="1:6">
      <c r="A124">
        <v>109</v>
      </c>
      <c r="B124" t="s">
        <v>466</v>
      </c>
      <c r="C124">
        <v>1</v>
      </c>
      <c r="D124" s="1">
        <v>45405</v>
      </c>
      <c r="E124">
        <v>390</v>
      </c>
      <c r="F124">
        <v>390</v>
      </c>
    </row>
    <row r="125" spans="1:6">
      <c r="A125">
        <v>110</v>
      </c>
      <c r="B125" t="s">
        <v>466</v>
      </c>
      <c r="C125">
        <v>1</v>
      </c>
      <c r="D125" s="1">
        <v>45405</v>
      </c>
      <c r="E125">
        <v>390</v>
      </c>
      <c r="F125">
        <v>390</v>
      </c>
    </row>
    <row r="126" spans="1:6">
      <c r="A126">
        <v>111</v>
      </c>
      <c r="B126" t="s">
        <v>466</v>
      </c>
      <c r="C126">
        <v>1</v>
      </c>
      <c r="D126" s="1">
        <v>45406</v>
      </c>
      <c r="E126">
        <v>390</v>
      </c>
      <c r="F126">
        <v>390</v>
      </c>
    </row>
    <row r="127" spans="1:6">
      <c r="A127">
        <v>116</v>
      </c>
      <c r="B127" t="s">
        <v>471</v>
      </c>
      <c r="C127">
        <v>1</v>
      </c>
      <c r="D127" s="1">
        <v>45418</v>
      </c>
      <c r="E127">
        <v>316.44</v>
      </c>
      <c r="F127">
        <v>316.44</v>
      </c>
    </row>
    <row r="128" spans="1:6">
      <c r="A128">
        <v>117</v>
      </c>
      <c r="B128" t="s">
        <v>803</v>
      </c>
      <c r="C128">
        <v>10</v>
      </c>
      <c r="D128" s="1">
        <v>45418</v>
      </c>
      <c r="E128">
        <v>53.95</v>
      </c>
      <c r="F128">
        <v>539.5</v>
      </c>
    </row>
    <row r="129" spans="1:6">
      <c r="A129">
        <v>118</v>
      </c>
      <c r="B129" t="s">
        <v>468</v>
      </c>
      <c r="C129">
        <v>20</v>
      </c>
      <c r="D129" s="1">
        <v>45419</v>
      </c>
      <c r="E129">
        <v>7.95</v>
      </c>
      <c r="F129">
        <v>159</v>
      </c>
    </row>
    <row r="130" spans="1:6">
      <c r="A130">
        <v>119</v>
      </c>
      <c r="B130" t="s">
        <v>759</v>
      </c>
      <c r="C130">
        <v>2</v>
      </c>
      <c r="D130" s="1">
        <v>45419</v>
      </c>
      <c r="E130">
        <v>76.58</v>
      </c>
      <c r="F130">
        <v>153.16</v>
      </c>
    </row>
    <row r="131" spans="1:6">
      <c r="A131">
        <v>126</v>
      </c>
      <c r="B131" t="s">
        <v>424</v>
      </c>
      <c r="C131">
        <v>1</v>
      </c>
      <c r="D131" s="1">
        <v>45420</v>
      </c>
      <c r="E131">
        <v>560.78</v>
      </c>
      <c r="F131">
        <v>560.78</v>
      </c>
    </row>
    <row r="132" spans="1:6">
      <c r="A132">
        <v>127</v>
      </c>
      <c r="B132" t="s">
        <v>795</v>
      </c>
      <c r="C132">
        <v>1</v>
      </c>
      <c r="D132" s="1">
        <v>45420</v>
      </c>
      <c r="E132">
        <v>776.9</v>
      </c>
      <c r="F132">
        <v>776.9</v>
      </c>
    </row>
    <row r="133" spans="1:6">
      <c r="A133">
        <v>128</v>
      </c>
      <c r="B133" t="s">
        <v>327</v>
      </c>
      <c r="C133">
        <v>1</v>
      </c>
      <c r="D133" s="1">
        <v>45420</v>
      </c>
      <c r="E133">
        <v>547.4</v>
      </c>
      <c r="F133">
        <v>547.4</v>
      </c>
    </row>
    <row r="134" spans="1:6">
      <c r="A134">
        <v>120</v>
      </c>
      <c r="B134" t="s">
        <v>800</v>
      </c>
      <c r="C134">
        <v>10</v>
      </c>
      <c r="D134" s="1">
        <v>45421</v>
      </c>
      <c r="E134">
        <v>24.1</v>
      </c>
      <c r="F134">
        <v>241</v>
      </c>
    </row>
    <row r="135" spans="1:6">
      <c r="A135">
        <v>121</v>
      </c>
      <c r="B135" t="s">
        <v>824</v>
      </c>
      <c r="C135">
        <v>15</v>
      </c>
      <c r="D135" s="1">
        <v>45421</v>
      </c>
      <c r="E135">
        <v>35.75</v>
      </c>
      <c r="F135">
        <v>536.25</v>
      </c>
    </row>
    <row r="136" spans="1:6">
      <c r="A136">
        <v>122</v>
      </c>
      <c r="B136" t="s">
        <v>838</v>
      </c>
      <c r="C136">
        <v>1</v>
      </c>
      <c r="D136" s="1">
        <v>45422</v>
      </c>
      <c r="E136">
        <v>391</v>
      </c>
      <c r="F136">
        <v>391</v>
      </c>
    </row>
    <row r="137" spans="1:6">
      <c r="A137">
        <v>123</v>
      </c>
      <c r="B137" t="s">
        <v>455</v>
      </c>
      <c r="C137">
        <v>2</v>
      </c>
      <c r="D137" s="1">
        <v>45422</v>
      </c>
      <c r="E137">
        <v>80</v>
      </c>
      <c r="F137">
        <v>160</v>
      </c>
    </row>
    <row r="138" spans="1:6">
      <c r="A138">
        <v>124</v>
      </c>
      <c r="B138" t="s">
        <v>838</v>
      </c>
      <c r="C138">
        <v>1</v>
      </c>
      <c r="D138" s="1">
        <v>45422</v>
      </c>
      <c r="E138">
        <v>391</v>
      </c>
      <c r="F138">
        <v>391</v>
      </c>
    </row>
    <row r="139" spans="1:6">
      <c r="A139">
        <v>125</v>
      </c>
      <c r="B139" t="s">
        <v>489</v>
      </c>
      <c r="C139">
        <v>1</v>
      </c>
      <c r="D139" s="1">
        <v>45433</v>
      </c>
      <c r="E139">
        <v>697.62</v>
      </c>
      <c r="F139">
        <v>697.62</v>
      </c>
    </row>
    <row r="140" spans="1:6">
      <c r="A140">
        <v>130</v>
      </c>
      <c r="B140" t="s">
        <v>824</v>
      </c>
      <c r="C140">
        <v>2</v>
      </c>
      <c r="D140" s="1">
        <v>45439</v>
      </c>
      <c r="E140">
        <v>35.75</v>
      </c>
      <c r="F140">
        <v>71.5</v>
      </c>
    </row>
    <row r="141" spans="1:6">
      <c r="A141">
        <v>131</v>
      </c>
      <c r="B141" t="s">
        <v>800</v>
      </c>
      <c r="C141">
        <v>2</v>
      </c>
      <c r="D141" s="1">
        <v>45439</v>
      </c>
      <c r="E141">
        <v>24.1</v>
      </c>
      <c r="F141">
        <v>48.2</v>
      </c>
    </row>
    <row r="142" spans="1:6">
      <c r="A142">
        <v>137</v>
      </c>
      <c r="B142" t="s">
        <v>803</v>
      </c>
      <c r="C142">
        <v>10</v>
      </c>
      <c r="D142" s="1">
        <v>45449</v>
      </c>
      <c r="E142">
        <v>53.95</v>
      </c>
      <c r="F142">
        <v>539.5</v>
      </c>
    </row>
    <row r="143" spans="1:6">
      <c r="A143">
        <v>138</v>
      </c>
      <c r="B143" t="s">
        <v>471</v>
      </c>
      <c r="C143">
        <v>1</v>
      </c>
      <c r="D143" s="1">
        <v>45449</v>
      </c>
      <c r="E143">
        <v>316.44</v>
      </c>
      <c r="F143">
        <v>316.44</v>
      </c>
    </row>
    <row r="144" spans="1:6">
      <c r="A144">
        <v>139</v>
      </c>
      <c r="B144" t="s">
        <v>803</v>
      </c>
      <c r="C144">
        <v>10</v>
      </c>
      <c r="D144" s="1">
        <v>45449</v>
      </c>
      <c r="E144">
        <v>53.95</v>
      </c>
      <c r="F144">
        <v>539.5</v>
      </c>
    </row>
    <row r="145" spans="1:6">
      <c r="A145">
        <v>140</v>
      </c>
      <c r="B145" t="s">
        <v>424</v>
      </c>
      <c r="C145">
        <v>1</v>
      </c>
      <c r="D145" s="1">
        <v>45449</v>
      </c>
      <c r="E145">
        <v>560.78</v>
      </c>
      <c r="F145">
        <v>560.78</v>
      </c>
    </row>
    <row r="146" spans="1:6">
      <c r="A146">
        <v>141</v>
      </c>
      <c r="B146" t="s">
        <v>424</v>
      </c>
      <c r="C146">
        <v>1</v>
      </c>
      <c r="D146" s="1">
        <v>45449</v>
      </c>
      <c r="E146">
        <v>560.78</v>
      </c>
      <c r="F146">
        <v>560.78</v>
      </c>
    </row>
    <row r="147" spans="1:6">
      <c r="A147">
        <v>142</v>
      </c>
      <c r="B147" t="s">
        <v>473</v>
      </c>
      <c r="C147">
        <v>1</v>
      </c>
      <c r="D147" s="1">
        <v>45449</v>
      </c>
      <c r="E147">
        <v>102.24</v>
      </c>
      <c r="F147">
        <v>102.24</v>
      </c>
    </row>
    <row r="148" spans="1:6">
      <c r="A148">
        <v>143</v>
      </c>
      <c r="B148" t="s">
        <v>795</v>
      </c>
      <c r="C148">
        <v>1</v>
      </c>
      <c r="D148" s="1">
        <v>45449</v>
      </c>
      <c r="E148">
        <v>776.9</v>
      </c>
      <c r="F148">
        <v>776.9</v>
      </c>
    </row>
    <row r="149" spans="1:6">
      <c r="A149">
        <v>144</v>
      </c>
      <c r="B149" t="s">
        <v>145</v>
      </c>
      <c r="C149">
        <v>1</v>
      </c>
      <c r="D149" s="1">
        <v>45450</v>
      </c>
      <c r="E149">
        <v>76.5</v>
      </c>
      <c r="F149">
        <v>76.5</v>
      </c>
    </row>
    <row r="150" spans="1:6">
      <c r="A150">
        <v>159</v>
      </c>
      <c r="B150" t="s">
        <v>882</v>
      </c>
      <c r="C150">
        <v>1</v>
      </c>
      <c r="D150" s="1">
        <v>45450</v>
      </c>
      <c r="E150">
        <v>58.92</v>
      </c>
      <c r="F150">
        <v>58.92</v>
      </c>
    </row>
    <row r="151" spans="1:6">
      <c r="A151">
        <v>160</v>
      </c>
      <c r="B151" t="s">
        <v>882</v>
      </c>
      <c r="C151">
        <v>1</v>
      </c>
      <c r="D151" s="1">
        <v>45450</v>
      </c>
      <c r="E151">
        <v>58.92</v>
      </c>
      <c r="F151">
        <v>58.92</v>
      </c>
    </row>
    <row r="152" spans="1:6">
      <c r="A152">
        <v>145</v>
      </c>
      <c r="B152" t="s">
        <v>314</v>
      </c>
      <c r="C152">
        <v>1</v>
      </c>
      <c r="D152" s="1">
        <v>45453</v>
      </c>
      <c r="E152">
        <v>268.95999999999998</v>
      </c>
      <c r="F152">
        <v>268.95999999999998</v>
      </c>
    </row>
    <row r="153" spans="1:6">
      <c r="A153">
        <v>147</v>
      </c>
      <c r="B153" t="s">
        <v>800</v>
      </c>
      <c r="C153">
        <v>12</v>
      </c>
      <c r="D153" s="1">
        <v>45454</v>
      </c>
      <c r="E153">
        <v>24.1</v>
      </c>
      <c r="F153">
        <v>289.20000000000005</v>
      </c>
    </row>
    <row r="154" spans="1:6">
      <c r="A154">
        <v>148</v>
      </c>
      <c r="B154" t="s">
        <v>804</v>
      </c>
      <c r="C154">
        <v>12</v>
      </c>
      <c r="D154" s="1">
        <v>45454</v>
      </c>
      <c r="E154">
        <v>28.95</v>
      </c>
      <c r="F154">
        <v>347.4</v>
      </c>
    </row>
    <row r="155" spans="1:6">
      <c r="A155">
        <v>149</v>
      </c>
      <c r="B155" t="s">
        <v>823</v>
      </c>
      <c r="C155">
        <v>3</v>
      </c>
      <c r="D155" s="1">
        <v>45454</v>
      </c>
      <c r="E155">
        <v>27.1</v>
      </c>
      <c r="F155">
        <v>81.300000000000011</v>
      </c>
    </row>
    <row r="156" spans="1:6">
      <c r="A156">
        <v>150</v>
      </c>
      <c r="B156" t="s">
        <v>840</v>
      </c>
      <c r="C156">
        <v>1</v>
      </c>
      <c r="D156" s="1">
        <v>45457</v>
      </c>
      <c r="E156">
        <v>27.2</v>
      </c>
      <c r="F156">
        <v>27.2</v>
      </c>
    </row>
    <row r="157" spans="1:6">
      <c r="A157">
        <v>151</v>
      </c>
      <c r="B157" t="s">
        <v>315</v>
      </c>
      <c r="C157">
        <v>1</v>
      </c>
      <c r="D157" s="1">
        <v>45457</v>
      </c>
      <c r="E157">
        <v>153</v>
      </c>
      <c r="F157">
        <v>153</v>
      </c>
    </row>
    <row r="158" spans="1:6">
      <c r="A158">
        <v>172</v>
      </c>
      <c r="B158" t="s">
        <v>896</v>
      </c>
      <c r="C158">
        <v>1</v>
      </c>
      <c r="D158" s="1">
        <v>45462</v>
      </c>
      <c r="E158">
        <v>211.18</v>
      </c>
      <c r="F158">
        <v>211.18</v>
      </c>
    </row>
    <row r="159" spans="1:6">
      <c r="A159">
        <v>152</v>
      </c>
      <c r="B159" t="s">
        <v>800</v>
      </c>
      <c r="C159">
        <v>8</v>
      </c>
      <c r="D159" s="1">
        <v>45463</v>
      </c>
      <c r="E159">
        <v>24.1</v>
      </c>
      <c r="F159">
        <v>192.8</v>
      </c>
    </row>
    <row r="160" spans="1:6">
      <c r="A160">
        <v>153</v>
      </c>
      <c r="B160" t="s">
        <v>824</v>
      </c>
      <c r="C160">
        <v>18</v>
      </c>
      <c r="D160" s="1">
        <v>45463</v>
      </c>
      <c r="E160">
        <v>35.75</v>
      </c>
      <c r="F160">
        <v>643.5</v>
      </c>
    </row>
    <row r="161" spans="1:6">
      <c r="A161">
        <v>154</v>
      </c>
      <c r="B161" t="s">
        <v>823</v>
      </c>
      <c r="C161">
        <v>3</v>
      </c>
      <c r="D161" s="1">
        <v>45463</v>
      </c>
      <c r="E161">
        <v>27.1</v>
      </c>
      <c r="F161">
        <v>81.300000000000011</v>
      </c>
    </row>
    <row r="162" spans="1:6">
      <c r="A162">
        <v>326</v>
      </c>
      <c r="B162" t="s">
        <v>471</v>
      </c>
      <c r="C162">
        <v>2</v>
      </c>
      <c r="D162" s="1">
        <v>45464</v>
      </c>
      <c r="E162">
        <v>316.44</v>
      </c>
      <c r="F162">
        <v>632.88</v>
      </c>
    </row>
    <row r="163" spans="1:6">
      <c r="A163">
        <v>155</v>
      </c>
      <c r="B163" t="s">
        <v>879</v>
      </c>
      <c r="C163">
        <v>3</v>
      </c>
      <c r="D163" s="1">
        <v>45467</v>
      </c>
      <c r="E163">
        <v>22.36</v>
      </c>
      <c r="F163">
        <v>67.08</v>
      </c>
    </row>
    <row r="164" spans="1:6">
      <c r="A164">
        <v>156</v>
      </c>
      <c r="B164" t="s">
        <v>465</v>
      </c>
      <c r="C164">
        <v>1</v>
      </c>
      <c r="D164" s="1">
        <v>45469</v>
      </c>
      <c r="E164">
        <v>906.63</v>
      </c>
      <c r="F164">
        <v>906.63</v>
      </c>
    </row>
    <row r="165" spans="1:6">
      <c r="A165">
        <v>157</v>
      </c>
      <c r="B165" t="s">
        <v>471</v>
      </c>
      <c r="C165">
        <v>1</v>
      </c>
      <c r="D165" s="1">
        <v>45471</v>
      </c>
      <c r="E165">
        <v>316.44</v>
      </c>
      <c r="F165">
        <v>316.44</v>
      </c>
    </row>
    <row r="166" spans="1:6">
      <c r="A166">
        <v>158</v>
      </c>
      <c r="B166" t="s">
        <v>820</v>
      </c>
      <c r="C166">
        <v>1</v>
      </c>
      <c r="D166" s="1">
        <v>45477</v>
      </c>
      <c r="E166">
        <v>73.5</v>
      </c>
      <c r="F166">
        <v>73.5</v>
      </c>
    </row>
    <row r="167" spans="1:6">
      <c r="A167">
        <v>214</v>
      </c>
      <c r="B167" t="s">
        <v>330</v>
      </c>
      <c r="C167">
        <v>1</v>
      </c>
      <c r="D167" s="1">
        <v>45480</v>
      </c>
      <c r="E167">
        <v>733.5</v>
      </c>
      <c r="F167">
        <v>733.5</v>
      </c>
    </row>
    <row r="168" spans="1:6">
      <c r="A168">
        <v>215</v>
      </c>
      <c r="B168" t="s">
        <v>53</v>
      </c>
      <c r="C168">
        <v>1</v>
      </c>
      <c r="D168" s="1">
        <v>45480</v>
      </c>
      <c r="E168">
        <v>24.75</v>
      </c>
      <c r="F168">
        <v>24.75</v>
      </c>
    </row>
    <row r="169" spans="1:6">
      <c r="A169">
        <v>257</v>
      </c>
      <c r="B169" t="s">
        <v>831</v>
      </c>
      <c r="C169">
        <v>1</v>
      </c>
      <c r="D169" s="1">
        <v>45480</v>
      </c>
      <c r="E169">
        <v>400</v>
      </c>
      <c r="F169">
        <v>400</v>
      </c>
    </row>
    <row r="170" spans="1:6">
      <c r="A170">
        <v>169</v>
      </c>
      <c r="B170" t="s">
        <v>887</v>
      </c>
      <c r="C170">
        <v>1</v>
      </c>
      <c r="D170" s="1">
        <v>45481</v>
      </c>
      <c r="E170">
        <v>412</v>
      </c>
      <c r="F170">
        <v>412</v>
      </c>
    </row>
    <row r="171" spans="1:6">
      <c r="A171">
        <v>161</v>
      </c>
      <c r="B171" t="s">
        <v>803</v>
      </c>
      <c r="C171">
        <v>10</v>
      </c>
      <c r="D171" s="1">
        <v>45483</v>
      </c>
      <c r="E171">
        <v>53.95</v>
      </c>
      <c r="F171">
        <v>539.5</v>
      </c>
    </row>
    <row r="172" spans="1:6">
      <c r="A172">
        <v>162</v>
      </c>
      <c r="B172" t="s">
        <v>886</v>
      </c>
      <c r="C172">
        <v>10</v>
      </c>
      <c r="D172" s="1">
        <v>45484</v>
      </c>
      <c r="E172">
        <v>35.75</v>
      </c>
      <c r="F172">
        <v>357.5</v>
      </c>
    </row>
    <row r="173" spans="1:6">
      <c r="A173">
        <v>163</v>
      </c>
      <c r="B173" t="s">
        <v>800</v>
      </c>
      <c r="C173">
        <v>6</v>
      </c>
      <c r="D173" s="1">
        <v>45484</v>
      </c>
      <c r="E173">
        <v>24.1</v>
      </c>
      <c r="F173">
        <v>144.60000000000002</v>
      </c>
    </row>
    <row r="174" spans="1:6">
      <c r="A174">
        <v>164</v>
      </c>
      <c r="B174" t="s">
        <v>800</v>
      </c>
      <c r="C174">
        <v>2</v>
      </c>
      <c r="D174" s="1">
        <v>45484</v>
      </c>
      <c r="E174">
        <v>24.1</v>
      </c>
      <c r="F174">
        <v>48.2</v>
      </c>
    </row>
    <row r="175" spans="1:6">
      <c r="A175">
        <v>166</v>
      </c>
      <c r="B175" t="s">
        <v>795</v>
      </c>
      <c r="C175">
        <v>1</v>
      </c>
      <c r="D175" s="1">
        <v>45485</v>
      </c>
      <c r="E175">
        <v>776.9</v>
      </c>
      <c r="F175">
        <v>776.9</v>
      </c>
    </row>
    <row r="176" spans="1:6">
      <c r="A176">
        <v>167</v>
      </c>
      <c r="B176" t="s">
        <v>424</v>
      </c>
      <c r="C176">
        <v>1</v>
      </c>
      <c r="D176" s="1">
        <v>45485</v>
      </c>
      <c r="E176">
        <v>560.78</v>
      </c>
      <c r="F176">
        <v>560.78</v>
      </c>
    </row>
    <row r="177" spans="1:6">
      <c r="A177">
        <v>168</v>
      </c>
      <c r="B177" t="s">
        <v>327</v>
      </c>
      <c r="C177">
        <v>1</v>
      </c>
      <c r="D177" s="1">
        <v>45485</v>
      </c>
      <c r="E177">
        <v>547.4</v>
      </c>
      <c r="F177">
        <v>547.4</v>
      </c>
    </row>
    <row r="178" spans="1:6">
      <c r="A178">
        <v>170</v>
      </c>
      <c r="B178" t="s">
        <v>803</v>
      </c>
      <c r="C178">
        <v>2</v>
      </c>
      <c r="D178" s="1">
        <v>45488</v>
      </c>
      <c r="E178">
        <v>53.95</v>
      </c>
      <c r="F178">
        <v>107.9</v>
      </c>
    </row>
    <row r="179" spans="1:6">
      <c r="A179">
        <v>171</v>
      </c>
      <c r="B179" t="s">
        <v>838</v>
      </c>
      <c r="C179">
        <v>2</v>
      </c>
      <c r="D179" s="1">
        <v>45488</v>
      </c>
      <c r="E179">
        <v>391</v>
      </c>
      <c r="F179">
        <v>782</v>
      </c>
    </row>
    <row r="180" spans="1:6">
      <c r="A180">
        <v>173</v>
      </c>
      <c r="B180" t="s">
        <v>920</v>
      </c>
      <c r="C180">
        <v>1</v>
      </c>
      <c r="D180" s="1">
        <v>45489</v>
      </c>
      <c r="E180">
        <v>647.25</v>
      </c>
      <c r="F180">
        <v>647.25</v>
      </c>
    </row>
    <row r="181" spans="1:6">
      <c r="A181">
        <v>174</v>
      </c>
      <c r="B181" t="s">
        <v>912</v>
      </c>
      <c r="C181">
        <v>1</v>
      </c>
      <c r="D181" s="1">
        <v>45489</v>
      </c>
      <c r="E181">
        <v>500</v>
      </c>
      <c r="F181">
        <v>500</v>
      </c>
    </row>
    <row r="182" spans="1:6">
      <c r="A182">
        <v>175</v>
      </c>
      <c r="B182" t="s">
        <v>916</v>
      </c>
      <c r="C182">
        <v>1</v>
      </c>
      <c r="D182" s="1">
        <v>45489</v>
      </c>
      <c r="E182">
        <v>252.75</v>
      </c>
      <c r="F182">
        <v>252.75</v>
      </c>
    </row>
    <row r="183" spans="1:6">
      <c r="A183">
        <v>176</v>
      </c>
      <c r="B183" t="s">
        <v>908</v>
      </c>
      <c r="C183">
        <v>1</v>
      </c>
      <c r="D183" s="1">
        <v>45489</v>
      </c>
      <c r="E183">
        <v>267</v>
      </c>
      <c r="F183">
        <v>267</v>
      </c>
    </row>
    <row r="184" spans="1:6">
      <c r="A184">
        <v>177</v>
      </c>
      <c r="B184" t="s">
        <v>900</v>
      </c>
      <c r="C184">
        <v>1</v>
      </c>
      <c r="D184" s="1">
        <v>45489</v>
      </c>
      <c r="E184">
        <v>81</v>
      </c>
      <c r="F184">
        <v>81</v>
      </c>
    </row>
    <row r="185" spans="1:6">
      <c r="A185">
        <v>178</v>
      </c>
      <c r="B185" t="s">
        <v>904</v>
      </c>
      <c r="C185">
        <v>1</v>
      </c>
      <c r="D185" s="1">
        <v>45489</v>
      </c>
      <c r="E185">
        <v>167.25</v>
      </c>
      <c r="F185">
        <v>167.25</v>
      </c>
    </row>
    <row r="186" spans="1:6">
      <c r="A186">
        <v>179</v>
      </c>
      <c r="B186" t="s">
        <v>820</v>
      </c>
      <c r="C186">
        <v>1</v>
      </c>
      <c r="D186" s="1">
        <v>45489</v>
      </c>
      <c r="E186">
        <v>73.5</v>
      </c>
      <c r="F186">
        <v>73.5</v>
      </c>
    </row>
    <row r="187" spans="1:6">
      <c r="A187">
        <v>181</v>
      </c>
      <c r="B187" t="s">
        <v>800</v>
      </c>
      <c r="C187">
        <v>3</v>
      </c>
      <c r="D187" s="1">
        <v>45499</v>
      </c>
      <c r="E187">
        <v>24.1</v>
      </c>
      <c r="F187">
        <v>72.300000000000011</v>
      </c>
    </row>
    <row r="188" spans="1:6">
      <c r="A188">
        <v>182</v>
      </c>
      <c r="B188" t="s">
        <v>471</v>
      </c>
      <c r="C188">
        <v>2</v>
      </c>
      <c r="D188" s="1">
        <v>45503</v>
      </c>
      <c r="E188">
        <v>316.44</v>
      </c>
      <c r="F188">
        <v>632.88</v>
      </c>
    </row>
    <row r="189" spans="1:6">
      <c r="A189">
        <v>183</v>
      </c>
      <c r="B189" t="s">
        <v>879</v>
      </c>
      <c r="C189">
        <v>4</v>
      </c>
      <c r="D189" s="1">
        <v>45511</v>
      </c>
      <c r="E189">
        <v>22.36</v>
      </c>
      <c r="F189">
        <v>89.44</v>
      </c>
    </row>
    <row r="190" spans="1:6">
      <c r="A190">
        <v>184</v>
      </c>
      <c r="B190" t="s">
        <v>791</v>
      </c>
      <c r="C190">
        <v>1</v>
      </c>
      <c r="D190" s="1">
        <v>45511</v>
      </c>
      <c r="E190">
        <v>413.32</v>
      </c>
      <c r="F190">
        <v>413.32</v>
      </c>
    </row>
    <row r="191" spans="1:6">
      <c r="A191">
        <v>185</v>
      </c>
      <c r="B191" t="s">
        <v>477</v>
      </c>
      <c r="C191">
        <v>1</v>
      </c>
      <c r="D191" s="1">
        <v>45511</v>
      </c>
      <c r="E191">
        <v>3.38</v>
      </c>
      <c r="F191">
        <v>3.38</v>
      </c>
    </row>
    <row r="192" spans="1:6">
      <c r="A192">
        <v>186</v>
      </c>
      <c r="B192" t="s">
        <v>468</v>
      </c>
      <c r="C192">
        <v>10</v>
      </c>
      <c r="D192" s="1">
        <v>45513</v>
      </c>
      <c r="E192">
        <v>7.95</v>
      </c>
      <c r="F192">
        <v>79.5</v>
      </c>
    </row>
    <row r="193" spans="1:6">
      <c r="A193">
        <v>187</v>
      </c>
      <c r="B193" t="s">
        <v>469</v>
      </c>
      <c r="C193">
        <v>10</v>
      </c>
      <c r="D193" s="1">
        <v>45513</v>
      </c>
      <c r="E193">
        <v>7.95</v>
      </c>
      <c r="F193">
        <v>79.5</v>
      </c>
    </row>
    <row r="194" spans="1:6">
      <c r="A194">
        <v>188</v>
      </c>
      <c r="B194" t="s">
        <v>327</v>
      </c>
      <c r="C194">
        <v>1</v>
      </c>
      <c r="D194" s="1">
        <v>45513</v>
      </c>
      <c r="E194">
        <v>547.4</v>
      </c>
      <c r="F194">
        <v>547.4</v>
      </c>
    </row>
    <row r="195" spans="1:6">
      <c r="A195">
        <v>189</v>
      </c>
      <c r="B195" t="s">
        <v>473</v>
      </c>
      <c r="C195">
        <v>1</v>
      </c>
      <c r="D195" s="1">
        <v>45513</v>
      </c>
      <c r="E195">
        <v>102.24</v>
      </c>
      <c r="F195">
        <v>102.24</v>
      </c>
    </row>
    <row r="196" spans="1:6">
      <c r="A196">
        <v>190</v>
      </c>
      <c r="B196" t="s">
        <v>795</v>
      </c>
      <c r="C196">
        <v>1</v>
      </c>
      <c r="D196" s="1">
        <v>45513</v>
      </c>
      <c r="E196">
        <v>776.9</v>
      </c>
      <c r="F196">
        <v>776.9</v>
      </c>
    </row>
    <row r="197" spans="1:6">
      <c r="A197">
        <v>191</v>
      </c>
      <c r="B197" t="s">
        <v>455</v>
      </c>
      <c r="C197">
        <v>2</v>
      </c>
      <c r="D197" s="1">
        <v>45513</v>
      </c>
      <c r="E197">
        <v>80</v>
      </c>
      <c r="F197">
        <v>160</v>
      </c>
    </row>
    <row r="198" spans="1:6">
      <c r="A198">
        <v>192</v>
      </c>
      <c r="B198" t="s">
        <v>799</v>
      </c>
      <c r="C198">
        <v>5</v>
      </c>
      <c r="D198" s="1">
        <v>45516</v>
      </c>
      <c r="E198">
        <v>67.25</v>
      </c>
      <c r="F198">
        <v>336.25</v>
      </c>
    </row>
    <row r="199" spans="1:6">
      <c r="A199">
        <v>193</v>
      </c>
      <c r="B199" t="s">
        <v>803</v>
      </c>
      <c r="C199">
        <v>5</v>
      </c>
      <c r="D199" s="1">
        <v>45516</v>
      </c>
      <c r="E199">
        <v>53.95</v>
      </c>
      <c r="F199">
        <v>269.75</v>
      </c>
    </row>
    <row r="200" spans="1:6">
      <c r="A200">
        <v>194</v>
      </c>
      <c r="B200" t="s">
        <v>886</v>
      </c>
      <c r="C200">
        <v>9</v>
      </c>
      <c r="D200" s="1">
        <v>45516</v>
      </c>
      <c r="E200">
        <v>35.75</v>
      </c>
      <c r="F200">
        <v>321.75</v>
      </c>
    </row>
    <row r="201" spans="1:6">
      <c r="A201">
        <v>195</v>
      </c>
      <c r="B201" t="s">
        <v>800</v>
      </c>
      <c r="C201">
        <v>7</v>
      </c>
      <c r="D201" s="1">
        <v>45516</v>
      </c>
      <c r="E201">
        <v>24.1</v>
      </c>
      <c r="F201">
        <v>168.70000000000002</v>
      </c>
    </row>
    <row r="202" spans="1:6">
      <c r="A202">
        <v>196</v>
      </c>
      <c r="B202" t="s">
        <v>803</v>
      </c>
      <c r="C202">
        <v>1</v>
      </c>
      <c r="D202" s="1">
        <v>45517</v>
      </c>
      <c r="E202">
        <v>53.95</v>
      </c>
      <c r="F202">
        <v>53.95</v>
      </c>
    </row>
    <row r="203" spans="1:6">
      <c r="A203">
        <v>197</v>
      </c>
      <c r="B203" t="s">
        <v>820</v>
      </c>
      <c r="C203">
        <v>1</v>
      </c>
      <c r="D203" s="1">
        <v>45525</v>
      </c>
      <c r="E203">
        <v>73.5</v>
      </c>
      <c r="F203">
        <v>73.5</v>
      </c>
    </row>
    <row r="204" spans="1:6">
      <c r="A204">
        <v>199</v>
      </c>
      <c r="B204" t="s">
        <v>830</v>
      </c>
      <c r="C204">
        <v>1</v>
      </c>
      <c r="D204" s="1">
        <v>45525</v>
      </c>
      <c r="E204">
        <v>354</v>
      </c>
      <c r="F204">
        <v>354</v>
      </c>
    </row>
    <row r="205" spans="1:6">
      <c r="A205">
        <v>200</v>
      </c>
      <c r="B205" t="s">
        <v>829</v>
      </c>
      <c r="C205">
        <v>1</v>
      </c>
      <c r="D205" s="1">
        <v>45525</v>
      </c>
      <c r="E205">
        <v>304.5</v>
      </c>
      <c r="F205">
        <v>304.5</v>
      </c>
    </row>
    <row r="206" spans="1:6">
      <c r="A206">
        <v>201</v>
      </c>
      <c r="B206" t="s">
        <v>940</v>
      </c>
      <c r="C206">
        <v>1</v>
      </c>
      <c r="D206" s="1">
        <v>45525</v>
      </c>
      <c r="E206">
        <v>552</v>
      </c>
      <c r="F206">
        <v>552</v>
      </c>
    </row>
    <row r="207" spans="1:6">
      <c r="A207">
        <v>198</v>
      </c>
      <c r="B207" t="s">
        <v>819</v>
      </c>
      <c r="C207">
        <v>1</v>
      </c>
      <c r="D207" s="1">
        <v>45526</v>
      </c>
      <c r="E207">
        <v>120</v>
      </c>
      <c r="F207">
        <v>120</v>
      </c>
    </row>
    <row r="208" spans="1:6">
      <c r="A208">
        <v>202</v>
      </c>
      <c r="B208" t="s">
        <v>471</v>
      </c>
      <c r="C208">
        <v>1</v>
      </c>
      <c r="D208" s="1">
        <v>45533</v>
      </c>
      <c r="E208">
        <v>316.44</v>
      </c>
      <c r="F208">
        <v>316.44</v>
      </c>
    </row>
    <row r="209" spans="1:6">
      <c r="A209">
        <v>203</v>
      </c>
      <c r="B209" t="s">
        <v>838</v>
      </c>
      <c r="C209">
        <v>4</v>
      </c>
      <c r="D209" s="1">
        <v>45539</v>
      </c>
      <c r="E209">
        <v>391</v>
      </c>
      <c r="F209">
        <v>1564</v>
      </c>
    </row>
    <row r="210" spans="1:6">
      <c r="A210">
        <v>204</v>
      </c>
      <c r="B210" t="s">
        <v>479</v>
      </c>
      <c r="C210">
        <v>10</v>
      </c>
      <c r="D210" s="1">
        <v>45539</v>
      </c>
      <c r="E210">
        <v>2.9</v>
      </c>
      <c r="F210">
        <v>29</v>
      </c>
    </row>
    <row r="211" spans="1:6">
      <c r="A211">
        <v>205</v>
      </c>
      <c r="B211" t="s">
        <v>489</v>
      </c>
      <c r="C211">
        <v>1</v>
      </c>
      <c r="D211" s="1">
        <v>45544</v>
      </c>
      <c r="E211">
        <v>697.62</v>
      </c>
      <c r="F211">
        <v>697.62</v>
      </c>
    </row>
    <row r="212" spans="1:6">
      <c r="A212">
        <v>206</v>
      </c>
      <c r="B212" t="s">
        <v>800</v>
      </c>
      <c r="C212">
        <v>10</v>
      </c>
      <c r="D212" s="1">
        <v>45546</v>
      </c>
      <c r="E212">
        <v>24.1</v>
      </c>
      <c r="F212">
        <v>241</v>
      </c>
    </row>
    <row r="213" spans="1:6">
      <c r="A213">
        <v>207</v>
      </c>
      <c r="B213" t="s">
        <v>886</v>
      </c>
      <c r="C213">
        <v>12</v>
      </c>
      <c r="D213" s="1">
        <v>45546</v>
      </c>
      <c r="E213">
        <v>35.75</v>
      </c>
      <c r="F213">
        <v>429</v>
      </c>
    </row>
    <row r="214" spans="1:6">
      <c r="A214">
        <v>208</v>
      </c>
      <c r="B214" t="s">
        <v>803</v>
      </c>
      <c r="C214">
        <v>10</v>
      </c>
      <c r="D214" s="1">
        <v>45547</v>
      </c>
      <c r="E214">
        <v>53.95</v>
      </c>
      <c r="F214">
        <v>539.5</v>
      </c>
    </row>
    <row r="215" spans="1:6">
      <c r="A215">
        <v>209</v>
      </c>
      <c r="B215" t="s">
        <v>314</v>
      </c>
      <c r="C215">
        <v>1</v>
      </c>
      <c r="D215" s="1">
        <v>45551</v>
      </c>
      <c r="E215">
        <v>268.95999999999998</v>
      </c>
      <c r="F215">
        <v>268.95999999999998</v>
      </c>
    </row>
    <row r="216" spans="1:6">
      <c r="A216">
        <v>210</v>
      </c>
      <c r="B216" t="s">
        <v>795</v>
      </c>
      <c r="C216">
        <v>1</v>
      </c>
      <c r="D216" s="1">
        <v>45551</v>
      </c>
      <c r="E216">
        <v>776.9</v>
      </c>
      <c r="F216">
        <v>776.9</v>
      </c>
    </row>
    <row r="217" spans="1:6">
      <c r="A217">
        <v>211</v>
      </c>
      <c r="B217" t="s">
        <v>424</v>
      </c>
      <c r="C217">
        <v>1</v>
      </c>
      <c r="D217" s="1">
        <v>45551</v>
      </c>
      <c r="E217">
        <v>560.78</v>
      </c>
      <c r="F217">
        <v>560.78</v>
      </c>
    </row>
    <row r="218" spans="1:6">
      <c r="A218">
        <v>212</v>
      </c>
      <c r="B218" t="s">
        <v>471</v>
      </c>
      <c r="C218">
        <v>1</v>
      </c>
      <c r="D218" s="1">
        <v>45560</v>
      </c>
      <c r="E218">
        <v>316.44</v>
      </c>
      <c r="F218">
        <v>316.44</v>
      </c>
    </row>
    <row r="219" spans="1:6">
      <c r="A219">
        <v>213</v>
      </c>
      <c r="B219" t="s">
        <v>484</v>
      </c>
      <c r="C219">
        <v>1</v>
      </c>
      <c r="D219" s="1">
        <v>45560</v>
      </c>
      <c r="E219">
        <v>92.7</v>
      </c>
      <c r="F219">
        <v>92.7</v>
      </c>
    </row>
    <row r="220" spans="1:6">
      <c r="A220">
        <v>216</v>
      </c>
      <c r="B220" t="s">
        <v>837</v>
      </c>
      <c r="C220">
        <v>2</v>
      </c>
      <c r="D220" s="1">
        <v>45566</v>
      </c>
      <c r="E220">
        <v>393</v>
      </c>
      <c r="F220">
        <v>786</v>
      </c>
    </row>
    <row r="221" spans="1:6">
      <c r="A221">
        <v>217</v>
      </c>
      <c r="B221" t="s">
        <v>886</v>
      </c>
      <c r="C221">
        <v>1</v>
      </c>
      <c r="D221" s="1">
        <v>45572</v>
      </c>
      <c r="E221">
        <v>35.75</v>
      </c>
      <c r="F221">
        <v>35.75</v>
      </c>
    </row>
    <row r="222" spans="1:6">
      <c r="A222">
        <v>218</v>
      </c>
      <c r="B222" t="s">
        <v>800</v>
      </c>
      <c r="C222">
        <v>1</v>
      </c>
      <c r="D222" s="1">
        <v>45572</v>
      </c>
      <c r="E222">
        <v>24.1</v>
      </c>
      <c r="F222">
        <v>24.1</v>
      </c>
    </row>
    <row r="223" spans="1:6">
      <c r="A223">
        <v>219</v>
      </c>
      <c r="B223" t="s">
        <v>468</v>
      </c>
      <c r="C223">
        <v>10</v>
      </c>
      <c r="D223" s="1">
        <v>45574</v>
      </c>
      <c r="E223">
        <v>7.95</v>
      </c>
      <c r="F223">
        <v>79.5</v>
      </c>
    </row>
    <row r="224" spans="1:6">
      <c r="A224">
        <v>220</v>
      </c>
      <c r="B224" t="s">
        <v>469</v>
      </c>
      <c r="C224">
        <v>10</v>
      </c>
      <c r="D224" s="1">
        <v>45574</v>
      </c>
      <c r="E224">
        <v>7.95</v>
      </c>
      <c r="F224">
        <v>79.5</v>
      </c>
    </row>
    <row r="225" spans="1:6">
      <c r="A225">
        <v>221</v>
      </c>
      <c r="B225" t="s">
        <v>952</v>
      </c>
      <c r="C225">
        <v>1</v>
      </c>
      <c r="D225" s="1">
        <v>45574</v>
      </c>
      <c r="E225">
        <v>22.36</v>
      </c>
      <c r="F225">
        <v>22.36</v>
      </c>
    </row>
    <row r="226" spans="1:6">
      <c r="A226">
        <v>222</v>
      </c>
      <c r="B226" t="s">
        <v>461</v>
      </c>
      <c r="C226">
        <v>1</v>
      </c>
      <c r="D226" s="1">
        <v>45574</v>
      </c>
      <c r="E226">
        <v>74.06</v>
      </c>
      <c r="F226">
        <v>74.06</v>
      </c>
    </row>
    <row r="227" spans="1:6">
      <c r="A227">
        <v>223</v>
      </c>
      <c r="B227" t="s">
        <v>471</v>
      </c>
      <c r="C227">
        <v>1</v>
      </c>
      <c r="D227" s="1">
        <v>45574</v>
      </c>
      <c r="E227">
        <v>316.44</v>
      </c>
      <c r="F227">
        <v>316.44</v>
      </c>
    </row>
    <row r="228" spans="1:6">
      <c r="A228">
        <v>224</v>
      </c>
      <c r="B228" t="s">
        <v>820</v>
      </c>
      <c r="C228">
        <v>1</v>
      </c>
      <c r="D228" s="1">
        <v>45574</v>
      </c>
      <c r="E228">
        <v>73.5</v>
      </c>
      <c r="F228">
        <v>73.5</v>
      </c>
    </row>
    <row r="229" spans="1:6">
      <c r="A229">
        <v>225</v>
      </c>
      <c r="B229" t="s">
        <v>819</v>
      </c>
      <c r="C229">
        <v>1</v>
      </c>
      <c r="D229" s="1">
        <v>45574</v>
      </c>
      <c r="E229">
        <v>120</v>
      </c>
      <c r="F229">
        <v>120</v>
      </c>
    </row>
    <row r="230" spans="1:6">
      <c r="A230">
        <v>226</v>
      </c>
      <c r="B230" t="s">
        <v>832</v>
      </c>
      <c r="C230">
        <v>1</v>
      </c>
      <c r="D230" s="1">
        <v>45574</v>
      </c>
      <c r="E230">
        <v>952</v>
      </c>
      <c r="F230">
        <v>952</v>
      </c>
    </row>
    <row r="231" spans="1:6">
      <c r="A231">
        <v>227</v>
      </c>
      <c r="B231" t="s">
        <v>839</v>
      </c>
      <c r="C231">
        <v>2</v>
      </c>
      <c r="D231" s="1">
        <v>45574</v>
      </c>
      <c r="E231">
        <v>28.5</v>
      </c>
      <c r="F231">
        <v>57</v>
      </c>
    </row>
    <row r="232" spans="1:6">
      <c r="A232">
        <v>228</v>
      </c>
      <c r="B232" t="s">
        <v>791</v>
      </c>
      <c r="C232">
        <v>1</v>
      </c>
      <c r="D232" s="1">
        <v>45574</v>
      </c>
      <c r="E232">
        <v>413.32</v>
      </c>
      <c r="F232">
        <v>413.32</v>
      </c>
    </row>
    <row r="233" spans="1:6">
      <c r="A233">
        <v>229</v>
      </c>
      <c r="B233" t="s">
        <v>800</v>
      </c>
      <c r="C233">
        <v>17</v>
      </c>
      <c r="D233" s="1">
        <v>45575</v>
      </c>
      <c r="E233">
        <v>24.1</v>
      </c>
      <c r="F233">
        <v>409.70000000000005</v>
      </c>
    </row>
    <row r="234" spans="1:6">
      <c r="A234">
        <v>230</v>
      </c>
      <c r="B234" t="s">
        <v>886</v>
      </c>
      <c r="C234">
        <v>12</v>
      </c>
      <c r="D234" s="1">
        <v>45575</v>
      </c>
      <c r="E234">
        <v>35.75</v>
      </c>
      <c r="F234">
        <v>429</v>
      </c>
    </row>
    <row r="235" spans="1:6">
      <c r="A235">
        <v>231</v>
      </c>
      <c r="B235" t="s">
        <v>477</v>
      </c>
      <c r="C235">
        <v>20</v>
      </c>
      <c r="D235" s="1">
        <v>45575</v>
      </c>
      <c r="E235">
        <v>3.38</v>
      </c>
      <c r="F235">
        <v>67.599999999999994</v>
      </c>
    </row>
    <row r="236" spans="1:6">
      <c r="A236">
        <v>232</v>
      </c>
      <c r="B236" t="s">
        <v>799</v>
      </c>
      <c r="C236">
        <v>1</v>
      </c>
      <c r="D236" s="1">
        <v>45576</v>
      </c>
      <c r="E236">
        <v>67.25</v>
      </c>
      <c r="F236">
        <v>67.25</v>
      </c>
    </row>
    <row r="237" spans="1:6">
      <c r="A237">
        <v>233</v>
      </c>
      <c r="B237" t="s">
        <v>803</v>
      </c>
      <c r="C237">
        <v>6</v>
      </c>
      <c r="D237" s="1">
        <v>45576</v>
      </c>
      <c r="E237">
        <v>53.95</v>
      </c>
      <c r="F237">
        <v>323.70000000000005</v>
      </c>
    </row>
    <row r="238" spans="1:6">
      <c r="A238">
        <v>234</v>
      </c>
      <c r="B238" t="s">
        <v>490</v>
      </c>
      <c r="C238">
        <v>4</v>
      </c>
      <c r="D238" s="1">
        <v>45576</v>
      </c>
      <c r="E238">
        <v>70.289999999999992</v>
      </c>
      <c r="F238">
        <v>281.15999999999997</v>
      </c>
    </row>
    <row r="239" spans="1:6">
      <c r="A239">
        <v>236</v>
      </c>
      <c r="B239" t="s">
        <v>424</v>
      </c>
      <c r="C239">
        <v>1</v>
      </c>
      <c r="D239" s="1">
        <v>45587</v>
      </c>
      <c r="E239">
        <v>560.78</v>
      </c>
      <c r="F239">
        <v>560.78</v>
      </c>
    </row>
    <row r="240" spans="1:6">
      <c r="A240">
        <v>235</v>
      </c>
      <c r="B240" t="s">
        <v>896</v>
      </c>
      <c r="C240">
        <v>1</v>
      </c>
      <c r="D240" s="1">
        <v>45588</v>
      </c>
      <c r="E240">
        <v>211.18</v>
      </c>
      <c r="F240">
        <v>211.18</v>
      </c>
    </row>
    <row r="241" spans="1:6">
      <c r="A241">
        <v>237</v>
      </c>
      <c r="B241" t="s">
        <v>327</v>
      </c>
      <c r="C241">
        <v>1</v>
      </c>
      <c r="D241" s="1">
        <v>45590</v>
      </c>
      <c r="E241">
        <v>547.4</v>
      </c>
      <c r="F241">
        <v>547.4</v>
      </c>
    </row>
    <row r="242" spans="1:6">
      <c r="A242">
        <v>238</v>
      </c>
      <c r="B242" t="s">
        <v>838</v>
      </c>
      <c r="C242">
        <v>2</v>
      </c>
      <c r="D242" s="1">
        <v>45595</v>
      </c>
      <c r="E242">
        <v>391</v>
      </c>
      <c r="F242">
        <v>782</v>
      </c>
    </row>
    <row r="243" spans="1:6">
      <c r="A243">
        <v>239</v>
      </c>
      <c r="B243" t="s">
        <v>465</v>
      </c>
      <c r="C243">
        <v>1</v>
      </c>
      <c r="D243" s="1">
        <v>45595</v>
      </c>
      <c r="E243">
        <v>906.63</v>
      </c>
      <c r="F243">
        <v>906.63</v>
      </c>
    </row>
    <row r="244" spans="1:6">
      <c r="A244">
        <v>240</v>
      </c>
      <c r="B244" t="s">
        <v>803</v>
      </c>
      <c r="C244">
        <v>2</v>
      </c>
      <c r="D244" s="1">
        <v>45600</v>
      </c>
      <c r="E244">
        <v>53.95</v>
      </c>
      <c r="F244">
        <v>107.9</v>
      </c>
    </row>
    <row r="245" spans="1:6">
      <c r="A245">
        <v>241</v>
      </c>
      <c r="B245" t="s">
        <v>482</v>
      </c>
      <c r="C245">
        <v>2</v>
      </c>
      <c r="D245" s="1">
        <v>45600</v>
      </c>
      <c r="E245">
        <v>25</v>
      </c>
      <c r="F245">
        <v>50</v>
      </c>
    </row>
    <row r="246" spans="1:6">
      <c r="A246">
        <v>242</v>
      </c>
      <c r="B246" t="s">
        <v>803</v>
      </c>
      <c r="C246">
        <v>15</v>
      </c>
      <c r="D246" s="1">
        <v>45603</v>
      </c>
      <c r="E246">
        <v>53.95</v>
      </c>
      <c r="F246">
        <v>809.25</v>
      </c>
    </row>
    <row r="247" spans="1:6">
      <c r="A247">
        <v>243</v>
      </c>
      <c r="B247" t="s">
        <v>471</v>
      </c>
      <c r="C247">
        <v>1</v>
      </c>
      <c r="D247" s="1">
        <v>45603</v>
      </c>
      <c r="E247">
        <v>316.44</v>
      </c>
      <c r="F247">
        <v>316.44</v>
      </c>
    </row>
    <row r="248" spans="1:6">
      <c r="A248">
        <v>248</v>
      </c>
      <c r="B248" t="s">
        <v>327</v>
      </c>
      <c r="C248">
        <v>1</v>
      </c>
      <c r="D248" s="1">
        <v>45608</v>
      </c>
      <c r="E248">
        <v>547.4</v>
      </c>
      <c r="F248">
        <v>547.4</v>
      </c>
    </row>
    <row r="249" spans="1:6">
      <c r="A249">
        <v>249</v>
      </c>
      <c r="B249" t="s">
        <v>795</v>
      </c>
      <c r="C249">
        <v>1</v>
      </c>
      <c r="D249" s="1">
        <v>45608</v>
      </c>
      <c r="E249">
        <v>776.9</v>
      </c>
      <c r="F249">
        <v>776.9</v>
      </c>
    </row>
    <row r="250" spans="1:6">
      <c r="A250">
        <v>250</v>
      </c>
      <c r="B250" t="s">
        <v>424</v>
      </c>
      <c r="C250">
        <v>1</v>
      </c>
      <c r="D250" s="1">
        <v>45608</v>
      </c>
      <c r="E250">
        <v>560.78</v>
      </c>
      <c r="F250">
        <v>560.78</v>
      </c>
    </row>
    <row r="251" spans="1:6">
      <c r="A251">
        <v>244</v>
      </c>
      <c r="B251" t="s">
        <v>800</v>
      </c>
      <c r="C251">
        <v>10</v>
      </c>
      <c r="D251" s="1">
        <v>45609</v>
      </c>
      <c r="E251">
        <v>24.1</v>
      </c>
      <c r="F251">
        <v>241</v>
      </c>
    </row>
    <row r="252" spans="1:6">
      <c r="A252">
        <v>245</v>
      </c>
      <c r="B252" t="s">
        <v>821</v>
      </c>
      <c r="C252">
        <v>2</v>
      </c>
      <c r="D252" s="1">
        <v>45609</v>
      </c>
      <c r="E252">
        <v>119</v>
      </c>
      <c r="F252">
        <v>238</v>
      </c>
    </row>
    <row r="253" spans="1:6">
      <c r="A253">
        <v>246</v>
      </c>
      <c r="B253" t="s">
        <v>468</v>
      </c>
      <c r="C253">
        <v>13</v>
      </c>
      <c r="D253" s="1">
        <v>45609</v>
      </c>
      <c r="E253">
        <v>7.95</v>
      </c>
      <c r="F253">
        <v>103.35000000000001</v>
      </c>
    </row>
    <row r="254" spans="1:6">
      <c r="A254">
        <v>247</v>
      </c>
      <c r="B254" t="s">
        <v>968</v>
      </c>
      <c r="C254">
        <v>4</v>
      </c>
      <c r="D254" s="1">
        <v>45609</v>
      </c>
      <c r="E254">
        <v>4.79</v>
      </c>
      <c r="F254">
        <v>19.16</v>
      </c>
    </row>
    <row r="255" spans="1:6">
      <c r="A255">
        <v>272</v>
      </c>
      <c r="B255" t="s">
        <v>821</v>
      </c>
      <c r="C255">
        <v>2</v>
      </c>
      <c r="D255" s="1">
        <v>45609</v>
      </c>
      <c r="E255">
        <v>119</v>
      </c>
      <c r="F255">
        <v>238</v>
      </c>
    </row>
    <row r="256" spans="1:6">
      <c r="A256">
        <v>253</v>
      </c>
      <c r="B256" t="s">
        <v>455</v>
      </c>
      <c r="C256">
        <v>2</v>
      </c>
      <c r="D256" s="1">
        <v>45617</v>
      </c>
      <c r="E256">
        <v>80</v>
      </c>
      <c r="F256">
        <v>160</v>
      </c>
    </row>
    <row r="257" spans="1:6">
      <c r="A257">
        <v>254</v>
      </c>
      <c r="B257" t="s">
        <v>466</v>
      </c>
      <c r="C257">
        <v>1</v>
      </c>
      <c r="D257" s="1">
        <v>45617</v>
      </c>
      <c r="E257">
        <v>390</v>
      </c>
      <c r="F257">
        <v>390</v>
      </c>
    </row>
    <row r="258" spans="1:6">
      <c r="A258">
        <v>251</v>
      </c>
      <c r="B258" t="s">
        <v>886</v>
      </c>
      <c r="C258">
        <v>13</v>
      </c>
      <c r="D258" s="1">
        <v>45618</v>
      </c>
      <c r="E258">
        <v>35.75</v>
      </c>
      <c r="F258">
        <v>464.75</v>
      </c>
    </row>
    <row r="259" spans="1:6">
      <c r="A259">
        <v>252</v>
      </c>
      <c r="B259" t="s">
        <v>800</v>
      </c>
      <c r="C259">
        <v>7</v>
      </c>
      <c r="D259" s="1">
        <v>45618</v>
      </c>
      <c r="E259">
        <v>24.1</v>
      </c>
      <c r="F259">
        <v>168.70000000000002</v>
      </c>
    </row>
    <row r="260" spans="1:6">
      <c r="A260">
        <v>255</v>
      </c>
      <c r="B260" t="s">
        <v>800</v>
      </c>
      <c r="C260">
        <v>7</v>
      </c>
      <c r="D260" s="1">
        <v>45623</v>
      </c>
      <c r="E260">
        <v>24.1</v>
      </c>
      <c r="F260">
        <v>168.70000000000002</v>
      </c>
    </row>
    <row r="261" spans="1:6">
      <c r="A261">
        <v>256</v>
      </c>
      <c r="B261" t="s">
        <v>886</v>
      </c>
      <c r="C261">
        <v>17</v>
      </c>
      <c r="D261" s="1">
        <v>45623</v>
      </c>
      <c r="E261">
        <v>35.75</v>
      </c>
      <c r="F261">
        <v>607.75</v>
      </c>
    </row>
    <row r="262" spans="1:6">
      <c r="A262">
        <v>259</v>
      </c>
      <c r="B262" t="s">
        <v>804</v>
      </c>
      <c r="C262">
        <v>1</v>
      </c>
      <c r="D262" s="1">
        <v>45630</v>
      </c>
      <c r="E262">
        <v>28.95</v>
      </c>
      <c r="F262">
        <v>28.95</v>
      </c>
    </row>
    <row r="263" spans="1:6">
      <c r="A263">
        <v>260</v>
      </c>
      <c r="B263" t="s">
        <v>772</v>
      </c>
      <c r="C263">
        <v>1</v>
      </c>
      <c r="D263" s="1">
        <v>45630</v>
      </c>
      <c r="E263">
        <v>34.69</v>
      </c>
      <c r="F263">
        <v>34.69</v>
      </c>
    </row>
    <row r="264" spans="1:6">
      <c r="A264">
        <v>261</v>
      </c>
      <c r="B264" t="s">
        <v>500</v>
      </c>
      <c r="C264">
        <v>8</v>
      </c>
      <c r="D264" s="1">
        <v>45630</v>
      </c>
      <c r="E264">
        <v>12</v>
      </c>
      <c r="F264">
        <v>96</v>
      </c>
    </row>
    <row r="265" spans="1:6">
      <c r="A265">
        <v>262</v>
      </c>
      <c r="B265" t="s">
        <v>834</v>
      </c>
      <c r="C265">
        <v>1</v>
      </c>
      <c r="D265" s="1">
        <v>45630</v>
      </c>
      <c r="E265">
        <v>144</v>
      </c>
      <c r="F265">
        <v>144</v>
      </c>
    </row>
    <row r="266" spans="1:6">
      <c r="A266">
        <v>264</v>
      </c>
      <c r="B266" t="s">
        <v>471</v>
      </c>
      <c r="C266">
        <v>1</v>
      </c>
      <c r="D266" s="1">
        <v>45636</v>
      </c>
      <c r="E266">
        <v>316.44</v>
      </c>
      <c r="F266">
        <v>316.44</v>
      </c>
    </row>
    <row r="267" spans="1:6">
      <c r="A267">
        <v>265</v>
      </c>
      <c r="B267" t="s">
        <v>489</v>
      </c>
      <c r="C267">
        <v>1</v>
      </c>
      <c r="D267" s="1">
        <v>45636</v>
      </c>
      <c r="E267">
        <v>697.62</v>
      </c>
      <c r="F267">
        <v>697.62</v>
      </c>
    </row>
    <row r="268" spans="1:6">
      <c r="A268">
        <v>263</v>
      </c>
      <c r="B268" t="s">
        <v>314</v>
      </c>
      <c r="C268">
        <v>4</v>
      </c>
      <c r="D268" s="1">
        <v>45637</v>
      </c>
      <c r="E268">
        <v>268.95999999999998</v>
      </c>
      <c r="F268">
        <v>1075.8399999999999</v>
      </c>
    </row>
    <row r="269" spans="1:6">
      <c r="A269">
        <v>266</v>
      </c>
      <c r="B269" t="s">
        <v>465</v>
      </c>
      <c r="C269">
        <v>1</v>
      </c>
      <c r="D269" s="1">
        <v>45644</v>
      </c>
      <c r="E269">
        <v>906.63</v>
      </c>
      <c r="F269">
        <v>906.63</v>
      </c>
    </row>
    <row r="270" spans="1:6">
      <c r="A270">
        <v>267</v>
      </c>
      <c r="B270" t="s">
        <v>831</v>
      </c>
      <c r="C270">
        <v>1</v>
      </c>
      <c r="D270" s="1">
        <v>45644</v>
      </c>
      <c r="E270">
        <v>400</v>
      </c>
      <c r="F270">
        <v>400</v>
      </c>
    </row>
    <row r="271" spans="1:6">
      <c r="A271">
        <v>268</v>
      </c>
      <c r="B271" t="s">
        <v>330</v>
      </c>
      <c r="C271">
        <v>1</v>
      </c>
      <c r="D271" s="1">
        <v>45644</v>
      </c>
      <c r="E271">
        <v>733.5</v>
      </c>
      <c r="F271">
        <v>733.5</v>
      </c>
    </row>
    <row r="272" spans="1:6">
      <c r="A272">
        <v>269</v>
      </c>
      <c r="B272" t="s">
        <v>829</v>
      </c>
      <c r="C272">
        <v>1</v>
      </c>
      <c r="D272" s="1">
        <v>45644</v>
      </c>
      <c r="E272">
        <v>304.5</v>
      </c>
      <c r="F272">
        <v>304.5</v>
      </c>
    </row>
    <row r="273" spans="1:6">
      <c r="A273">
        <v>270</v>
      </c>
      <c r="B273" t="s">
        <v>984</v>
      </c>
      <c r="C273">
        <v>1</v>
      </c>
      <c r="D273" s="1">
        <v>45645</v>
      </c>
      <c r="E273">
        <v>204.29</v>
      </c>
      <c r="F273">
        <v>204.29</v>
      </c>
    </row>
    <row r="274" spans="1:6">
      <c r="A274">
        <v>271</v>
      </c>
      <c r="B274" t="s">
        <v>803</v>
      </c>
      <c r="C274">
        <v>5</v>
      </c>
      <c r="D274" s="1">
        <v>45649</v>
      </c>
      <c r="E274">
        <v>53.95</v>
      </c>
      <c r="F274">
        <v>269.75</v>
      </c>
    </row>
    <row r="275" spans="1:6">
      <c r="A275">
        <v>273</v>
      </c>
      <c r="B275" t="s">
        <v>838</v>
      </c>
      <c r="C275">
        <v>2</v>
      </c>
      <c r="D275" s="1">
        <v>45671</v>
      </c>
      <c r="E275">
        <v>391</v>
      </c>
      <c r="F275">
        <v>782</v>
      </c>
    </row>
    <row r="276" spans="1:6">
      <c r="A276">
        <v>274</v>
      </c>
      <c r="B276" t="s">
        <v>803</v>
      </c>
      <c r="C276">
        <v>7</v>
      </c>
      <c r="D276" s="1">
        <v>45672</v>
      </c>
      <c r="E276">
        <v>53.95</v>
      </c>
      <c r="F276">
        <v>377.65000000000003</v>
      </c>
    </row>
    <row r="277" spans="1:6">
      <c r="A277">
        <v>275</v>
      </c>
      <c r="B277" t="s">
        <v>468</v>
      </c>
      <c r="C277">
        <v>15</v>
      </c>
      <c r="D277" s="1">
        <v>45672</v>
      </c>
      <c r="E277">
        <v>7.95</v>
      </c>
      <c r="F277">
        <v>119.25</v>
      </c>
    </row>
    <row r="278" spans="1:6">
      <c r="A278">
        <v>276</v>
      </c>
      <c r="B278" t="s">
        <v>968</v>
      </c>
      <c r="C278">
        <v>5</v>
      </c>
      <c r="D278" s="1">
        <v>45672</v>
      </c>
      <c r="E278">
        <v>4.79</v>
      </c>
      <c r="F278">
        <v>23.95</v>
      </c>
    </row>
    <row r="279" spans="1:6">
      <c r="A279">
        <v>277</v>
      </c>
      <c r="B279" t="s">
        <v>424</v>
      </c>
      <c r="C279">
        <v>1</v>
      </c>
      <c r="D279" s="1">
        <v>45677</v>
      </c>
      <c r="E279">
        <v>560.78</v>
      </c>
      <c r="F279">
        <v>560.78</v>
      </c>
    </row>
    <row r="280" spans="1:6">
      <c r="A280">
        <v>278</v>
      </c>
      <c r="B280" t="s">
        <v>327</v>
      </c>
      <c r="C280">
        <v>1</v>
      </c>
      <c r="D280" s="1">
        <v>45677</v>
      </c>
      <c r="E280">
        <v>547.4</v>
      </c>
      <c r="F280">
        <v>547.4</v>
      </c>
    </row>
    <row r="281" spans="1:6">
      <c r="A281">
        <v>279</v>
      </c>
      <c r="B281" t="s">
        <v>471</v>
      </c>
      <c r="C281">
        <v>1</v>
      </c>
      <c r="D281" s="1">
        <v>45677</v>
      </c>
      <c r="E281">
        <v>316.44</v>
      </c>
      <c r="F281">
        <v>316.44</v>
      </c>
    </row>
    <row r="282" spans="1:6">
      <c r="A282">
        <v>280</v>
      </c>
      <c r="B282" t="s">
        <v>952</v>
      </c>
      <c r="C282">
        <v>4</v>
      </c>
      <c r="D282" s="1">
        <v>45677</v>
      </c>
      <c r="E282">
        <v>22.36</v>
      </c>
      <c r="F282">
        <v>89.44</v>
      </c>
    </row>
    <row r="283" spans="1:6">
      <c r="A283">
        <v>281</v>
      </c>
      <c r="B283" t="s">
        <v>838</v>
      </c>
      <c r="C283">
        <v>1</v>
      </c>
      <c r="D283" s="1">
        <v>45681</v>
      </c>
      <c r="E283">
        <v>391</v>
      </c>
      <c r="F283">
        <v>391</v>
      </c>
    </row>
    <row r="284" spans="1:6">
      <c r="A284">
        <v>282</v>
      </c>
      <c r="B284" t="s">
        <v>886</v>
      </c>
      <c r="C284">
        <v>3</v>
      </c>
      <c r="D284" s="1">
        <v>45685</v>
      </c>
      <c r="E284">
        <v>35.75</v>
      </c>
      <c r="F284">
        <v>107.25</v>
      </c>
    </row>
    <row r="285" spans="1:6">
      <c r="A285">
        <v>283</v>
      </c>
      <c r="B285" t="s">
        <v>800</v>
      </c>
      <c r="C285">
        <v>8</v>
      </c>
      <c r="D285" s="1">
        <v>45685</v>
      </c>
      <c r="E285">
        <v>24.1</v>
      </c>
      <c r="F285">
        <v>192.8</v>
      </c>
    </row>
    <row r="286" spans="1:6">
      <c r="A286">
        <v>284</v>
      </c>
      <c r="B286" t="s">
        <v>886</v>
      </c>
      <c r="C286">
        <v>3</v>
      </c>
      <c r="D286" s="1">
        <v>45688</v>
      </c>
      <c r="E286">
        <v>35.75</v>
      </c>
      <c r="F286">
        <v>107.25</v>
      </c>
    </row>
    <row r="287" spans="1:6">
      <c r="A287">
        <v>285</v>
      </c>
      <c r="B287" t="s">
        <v>800</v>
      </c>
      <c r="C287">
        <v>5</v>
      </c>
      <c r="D287" s="1">
        <v>45688</v>
      </c>
      <c r="E287">
        <v>24.1</v>
      </c>
      <c r="F287">
        <v>120.5</v>
      </c>
    </row>
    <row r="288" spans="1:6">
      <c r="A288">
        <v>286</v>
      </c>
      <c r="B288" t="s">
        <v>968</v>
      </c>
      <c r="C288">
        <v>4</v>
      </c>
      <c r="D288" s="1">
        <v>45688</v>
      </c>
      <c r="E288">
        <v>4.79</v>
      </c>
      <c r="F288">
        <v>19.16</v>
      </c>
    </row>
    <row r="289" spans="1:6">
      <c r="A289">
        <v>287</v>
      </c>
      <c r="B289" t="s">
        <v>468</v>
      </c>
      <c r="C289">
        <v>4</v>
      </c>
      <c r="D289" s="1">
        <v>45688</v>
      </c>
      <c r="E289">
        <v>7.95</v>
      </c>
      <c r="F289">
        <v>31.8</v>
      </c>
    </row>
    <row r="290" spans="1:6">
      <c r="A290">
        <v>288</v>
      </c>
      <c r="B290" t="s">
        <v>468</v>
      </c>
      <c r="C290">
        <v>1</v>
      </c>
      <c r="D290" s="1">
        <v>45688</v>
      </c>
      <c r="E290">
        <v>7.95</v>
      </c>
      <c r="F290">
        <v>7.95</v>
      </c>
    </row>
    <row r="291" spans="1:6">
      <c r="A291">
        <v>289</v>
      </c>
      <c r="B291" t="s">
        <v>469</v>
      </c>
      <c r="C291">
        <v>3</v>
      </c>
      <c r="D291" s="1">
        <v>45688</v>
      </c>
      <c r="E291">
        <v>7.95</v>
      </c>
      <c r="F291">
        <v>23.85</v>
      </c>
    </row>
    <row r="292" spans="1:6">
      <c r="A292">
        <v>290</v>
      </c>
      <c r="B292" t="s">
        <v>477</v>
      </c>
      <c r="C292">
        <v>1</v>
      </c>
      <c r="D292" s="1">
        <v>45688</v>
      </c>
      <c r="E292">
        <v>3.38</v>
      </c>
      <c r="F292">
        <v>3.38</v>
      </c>
    </row>
    <row r="293" spans="1:6">
      <c r="A293">
        <v>291</v>
      </c>
      <c r="B293" t="s">
        <v>968</v>
      </c>
      <c r="C293">
        <v>1</v>
      </c>
      <c r="D293" s="1">
        <v>45688</v>
      </c>
      <c r="E293">
        <v>4.79</v>
      </c>
      <c r="F293">
        <v>4.79</v>
      </c>
    </row>
    <row r="294" spans="1:6">
      <c r="A294">
        <v>324</v>
      </c>
      <c r="B294" t="s">
        <v>456</v>
      </c>
      <c r="C294">
        <v>2</v>
      </c>
      <c r="D294" s="1">
        <v>45688</v>
      </c>
      <c r="E294">
        <v>176</v>
      </c>
      <c r="F294">
        <v>352</v>
      </c>
    </row>
    <row r="295" spans="1:6">
      <c r="A295">
        <v>292</v>
      </c>
      <c r="B295" t="s">
        <v>468</v>
      </c>
      <c r="C295">
        <v>1</v>
      </c>
      <c r="D295" s="1">
        <v>45695</v>
      </c>
      <c r="E295">
        <v>7.95</v>
      </c>
      <c r="F295">
        <v>7.95</v>
      </c>
    </row>
    <row r="296" spans="1:6">
      <c r="A296">
        <v>294</v>
      </c>
      <c r="B296" t="s">
        <v>886</v>
      </c>
      <c r="C296">
        <v>15</v>
      </c>
      <c r="D296" s="1">
        <v>45698</v>
      </c>
      <c r="E296">
        <v>35.75</v>
      </c>
      <c r="F296">
        <v>536.25</v>
      </c>
    </row>
    <row r="297" spans="1:6">
      <c r="A297">
        <v>293</v>
      </c>
      <c r="B297" t="s">
        <v>468</v>
      </c>
      <c r="C297">
        <v>20</v>
      </c>
      <c r="D297" s="1">
        <v>45699</v>
      </c>
      <c r="E297">
        <v>7.95</v>
      </c>
      <c r="F297">
        <v>159</v>
      </c>
    </row>
    <row r="298" spans="1:6">
      <c r="A298">
        <v>295</v>
      </c>
      <c r="B298" t="s">
        <v>469</v>
      </c>
      <c r="C298">
        <v>5</v>
      </c>
      <c r="D298" s="1">
        <v>45699</v>
      </c>
      <c r="E298">
        <v>7.95</v>
      </c>
      <c r="F298">
        <v>39.75</v>
      </c>
    </row>
    <row r="299" spans="1:6">
      <c r="A299">
        <v>296</v>
      </c>
      <c r="B299" t="s">
        <v>471</v>
      </c>
      <c r="C299">
        <v>2</v>
      </c>
      <c r="D299" s="1">
        <v>45700</v>
      </c>
      <c r="E299">
        <v>316.44</v>
      </c>
      <c r="F299">
        <v>632.88</v>
      </c>
    </row>
    <row r="300" spans="1:6">
      <c r="A300">
        <v>297</v>
      </c>
      <c r="B300" t="s">
        <v>471</v>
      </c>
      <c r="C300">
        <v>2</v>
      </c>
      <c r="D300" s="1">
        <v>45700</v>
      </c>
      <c r="E300">
        <v>316.44</v>
      </c>
      <c r="F300">
        <v>632.88</v>
      </c>
    </row>
    <row r="301" spans="1:6">
      <c r="A301">
        <v>298</v>
      </c>
      <c r="B301" t="s">
        <v>882</v>
      </c>
      <c r="C301">
        <v>1</v>
      </c>
      <c r="D301" s="1">
        <v>45700</v>
      </c>
      <c r="E301">
        <v>58.92</v>
      </c>
      <c r="F301">
        <v>58.92</v>
      </c>
    </row>
    <row r="302" spans="1:6">
      <c r="A302">
        <v>307</v>
      </c>
      <c r="B302" t="s">
        <v>485</v>
      </c>
      <c r="C302">
        <v>1</v>
      </c>
      <c r="D302" s="1">
        <v>45700</v>
      </c>
      <c r="E302">
        <v>111.4</v>
      </c>
      <c r="F302">
        <v>111.4</v>
      </c>
    </row>
    <row r="303" spans="1:6">
      <c r="A303">
        <v>308</v>
      </c>
      <c r="B303" t="s">
        <v>854</v>
      </c>
      <c r="C303">
        <v>1</v>
      </c>
      <c r="D303" s="1">
        <v>45700</v>
      </c>
      <c r="F303">
        <v>0</v>
      </c>
    </row>
    <row r="304" spans="1:6">
      <c r="A304">
        <v>299</v>
      </c>
      <c r="B304" t="s">
        <v>803</v>
      </c>
      <c r="C304">
        <v>10</v>
      </c>
      <c r="D304" s="1">
        <v>45702</v>
      </c>
      <c r="E304">
        <v>53.95</v>
      </c>
      <c r="F304">
        <v>539.5</v>
      </c>
    </row>
    <row r="305" spans="1:6">
      <c r="A305">
        <v>300</v>
      </c>
      <c r="B305" t="s">
        <v>795</v>
      </c>
      <c r="C305">
        <v>1</v>
      </c>
      <c r="D305" s="1">
        <v>45702</v>
      </c>
      <c r="E305">
        <v>776.9</v>
      </c>
      <c r="F305">
        <v>776.9</v>
      </c>
    </row>
    <row r="306" spans="1:6">
      <c r="A306">
        <v>301</v>
      </c>
      <c r="B306" t="s">
        <v>424</v>
      </c>
      <c r="C306">
        <v>1</v>
      </c>
      <c r="D306" s="1">
        <v>45702</v>
      </c>
      <c r="E306">
        <v>560.78</v>
      </c>
      <c r="F306">
        <v>560.78</v>
      </c>
    </row>
    <row r="307" spans="1:6">
      <c r="A307">
        <v>302</v>
      </c>
      <c r="B307" t="s">
        <v>314</v>
      </c>
      <c r="C307">
        <v>1</v>
      </c>
      <c r="D307" s="1">
        <v>45702</v>
      </c>
      <c r="E307">
        <v>268.95999999999998</v>
      </c>
      <c r="F307">
        <v>268.95999999999998</v>
      </c>
    </row>
    <row r="308" spans="1:6">
      <c r="A308">
        <v>303</v>
      </c>
      <c r="B308" t="s">
        <v>466</v>
      </c>
      <c r="C308">
        <v>1</v>
      </c>
      <c r="D308" s="1">
        <v>45707</v>
      </c>
      <c r="E308">
        <v>390</v>
      </c>
      <c r="F308">
        <v>390</v>
      </c>
    </row>
    <row r="309" spans="1:6">
      <c r="A309">
        <v>304</v>
      </c>
      <c r="B309" t="s">
        <v>466</v>
      </c>
      <c r="C309">
        <v>1</v>
      </c>
      <c r="D309" s="1">
        <v>45707</v>
      </c>
      <c r="E309">
        <v>390</v>
      </c>
      <c r="F309">
        <v>390</v>
      </c>
    </row>
    <row r="310" spans="1:6">
      <c r="A310">
        <v>305</v>
      </c>
      <c r="B310" t="s">
        <v>819</v>
      </c>
      <c r="C310">
        <v>2</v>
      </c>
      <c r="D310" s="1">
        <v>45707</v>
      </c>
      <c r="E310">
        <v>120</v>
      </c>
      <c r="F310">
        <v>240</v>
      </c>
    </row>
    <row r="311" spans="1:6">
      <c r="A311">
        <v>306</v>
      </c>
      <c r="B311" t="s">
        <v>820</v>
      </c>
      <c r="C311">
        <v>2</v>
      </c>
      <c r="D311" s="1">
        <v>45707</v>
      </c>
      <c r="E311">
        <v>73.5</v>
      </c>
      <c r="F311">
        <v>147</v>
      </c>
    </row>
    <row r="312" spans="1:6">
      <c r="A312">
        <v>309</v>
      </c>
      <c r="B312" t="s">
        <v>886</v>
      </c>
      <c r="C312">
        <v>2</v>
      </c>
      <c r="D312" s="1">
        <v>45714</v>
      </c>
      <c r="E312">
        <v>35.75</v>
      </c>
      <c r="F312">
        <v>71.5</v>
      </c>
    </row>
    <row r="313" spans="1:6">
      <c r="A313">
        <v>310</v>
      </c>
      <c r="B313" t="s">
        <v>468</v>
      </c>
      <c r="C313">
        <v>6</v>
      </c>
      <c r="D313" s="1">
        <v>45714</v>
      </c>
      <c r="E313">
        <v>7.95</v>
      </c>
      <c r="F313">
        <v>47.7</v>
      </c>
    </row>
    <row r="314" spans="1:6">
      <c r="A314">
        <v>311</v>
      </c>
      <c r="B314" t="s">
        <v>477</v>
      </c>
      <c r="C314">
        <v>7</v>
      </c>
      <c r="D314" s="1">
        <v>45714</v>
      </c>
      <c r="E314">
        <v>3.38</v>
      </c>
      <c r="F314">
        <v>23.66</v>
      </c>
    </row>
    <row r="315" spans="1:6">
      <c r="A315">
        <v>312</v>
      </c>
      <c r="B315" t="s">
        <v>1003</v>
      </c>
      <c r="C315">
        <v>2</v>
      </c>
      <c r="D315" s="1">
        <v>45714</v>
      </c>
      <c r="E315">
        <v>86.61</v>
      </c>
      <c r="F315">
        <v>173.22</v>
      </c>
    </row>
    <row r="316" spans="1:6">
      <c r="A316">
        <v>313</v>
      </c>
      <c r="B316" t="s">
        <v>468</v>
      </c>
      <c r="C316">
        <v>4</v>
      </c>
      <c r="D316" s="1">
        <v>45714</v>
      </c>
      <c r="E316">
        <v>7.95</v>
      </c>
      <c r="F316">
        <v>31.8</v>
      </c>
    </row>
    <row r="317" spans="1:6">
      <c r="A317">
        <v>314</v>
      </c>
      <c r="B317" t="s">
        <v>803</v>
      </c>
      <c r="C317">
        <v>1</v>
      </c>
      <c r="D317" s="1">
        <v>45715</v>
      </c>
      <c r="E317">
        <v>53.95</v>
      </c>
      <c r="F317">
        <v>53.95</v>
      </c>
    </row>
    <row r="318" spans="1:6">
      <c r="A318">
        <v>315</v>
      </c>
      <c r="B318" t="s">
        <v>455</v>
      </c>
      <c r="C318">
        <v>2</v>
      </c>
      <c r="D318" s="1">
        <v>45715</v>
      </c>
      <c r="E318">
        <v>80</v>
      </c>
      <c r="F318">
        <v>160</v>
      </c>
    </row>
    <row r="319" spans="1:6">
      <c r="A319">
        <v>316</v>
      </c>
      <c r="B319" t="s">
        <v>800</v>
      </c>
      <c r="C319">
        <v>10</v>
      </c>
      <c r="D319" s="1">
        <v>45720</v>
      </c>
      <c r="E319">
        <v>24.1</v>
      </c>
      <c r="F319">
        <v>241</v>
      </c>
    </row>
    <row r="320" spans="1:6">
      <c r="A320">
        <v>317</v>
      </c>
      <c r="B320" t="s">
        <v>477</v>
      </c>
      <c r="C320">
        <v>15</v>
      </c>
      <c r="D320" s="1">
        <v>45730</v>
      </c>
      <c r="E320">
        <v>3.38</v>
      </c>
      <c r="F320">
        <v>50.699999999999996</v>
      </c>
    </row>
    <row r="321" spans="1:6">
      <c r="A321">
        <v>318</v>
      </c>
      <c r="B321" t="s">
        <v>838</v>
      </c>
      <c r="C321">
        <v>2</v>
      </c>
      <c r="D321" s="1">
        <v>45733</v>
      </c>
      <c r="E321">
        <v>391</v>
      </c>
      <c r="F321">
        <v>782</v>
      </c>
    </row>
    <row r="322" spans="1:6">
      <c r="A322">
        <v>319</v>
      </c>
      <c r="B322" t="s">
        <v>823</v>
      </c>
      <c r="C322">
        <v>10</v>
      </c>
      <c r="D322" s="1">
        <v>45735</v>
      </c>
      <c r="E322">
        <v>27.1</v>
      </c>
      <c r="F322">
        <v>271</v>
      </c>
    </row>
    <row r="323" spans="1:6">
      <c r="A323">
        <v>320</v>
      </c>
      <c r="B323" t="s">
        <v>823</v>
      </c>
      <c r="C323">
        <v>10</v>
      </c>
      <c r="D323" s="1">
        <v>45735</v>
      </c>
      <c r="E323">
        <v>27.1</v>
      </c>
      <c r="F323">
        <v>271</v>
      </c>
    </row>
    <row r="324" spans="1:6">
      <c r="A324">
        <v>321</v>
      </c>
      <c r="B324" t="s">
        <v>886</v>
      </c>
      <c r="C324">
        <v>15</v>
      </c>
      <c r="D324" s="1">
        <v>45735</v>
      </c>
      <c r="E324">
        <v>35.75</v>
      </c>
      <c r="F324">
        <v>536.25</v>
      </c>
    </row>
    <row r="325" spans="1:6">
      <c r="A325">
        <v>322</v>
      </c>
      <c r="B325" t="s">
        <v>800</v>
      </c>
      <c r="C325">
        <v>10</v>
      </c>
      <c r="D325" s="1">
        <v>45735</v>
      </c>
      <c r="E325">
        <v>24.1</v>
      </c>
      <c r="F325">
        <v>241</v>
      </c>
    </row>
    <row r="326" spans="1:6">
      <c r="A326">
        <v>323</v>
      </c>
      <c r="B326" t="s">
        <v>803</v>
      </c>
      <c r="C326">
        <v>10</v>
      </c>
      <c r="D326" s="1">
        <v>45735</v>
      </c>
      <c r="E326">
        <v>53.95</v>
      </c>
      <c r="F326">
        <v>539.5</v>
      </c>
    </row>
    <row r="327" spans="1:6">
      <c r="A327">
        <v>434</v>
      </c>
      <c r="B327" t="s">
        <v>471</v>
      </c>
      <c r="C327">
        <v>3</v>
      </c>
      <c r="D327" s="1">
        <v>45736</v>
      </c>
      <c r="E327">
        <v>316.44</v>
      </c>
      <c r="F327">
        <v>949.31999999999994</v>
      </c>
    </row>
    <row r="328" spans="1:6">
      <c r="A328">
        <v>435</v>
      </c>
      <c r="B328" t="s">
        <v>887</v>
      </c>
      <c r="C328">
        <v>1</v>
      </c>
      <c r="D328" s="1">
        <v>45736</v>
      </c>
      <c r="E328">
        <v>412</v>
      </c>
      <c r="F328">
        <v>412</v>
      </c>
    </row>
    <row r="329" spans="1:6">
      <c r="A329">
        <v>329</v>
      </c>
      <c r="B329" t="s">
        <v>456</v>
      </c>
      <c r="C329">
        <v>1</v>
      </c>
      <c r="D329" s="1">
        <v>45737</v>
      </c>
      <c r="E329">
        <v>176</v>
      </c>
      <c r="F329">
        <v>176</v>
      </c>
    </row>
    <row r="330" spans="1:6">
      <c r="A330">
        <v>325</v>
      </c>
      <c r="B330" t="s">
        <v>471</v>
      </c>
      <c r="C330">
        <v>2</v>
      </c>
      <c r="D330" s="1">
        <v>45740</v>
      </c>
      <c r="E330">
        <v>316.44</v>
      </c>
      <c r="F330">
        <v>632.88</v>
      </c>
    </row>
    <row r="331" spans="1:6">
      <c r="A331">
        <v>327</v>
      </c>
      <c r="B331" t="s">
        <v>461</v>
      </c>
      <c r="C331">
        <v>1</v>
      </c>
      <c r="D331" s="1">
        <v>45740</v>
      </c>
      <c r="E331">
        <v>74.06</v>
      </c>
      <c r="F331">
        <v>74.06</v>
      </c>
    </row>
    <row r="332" spans="1:6">
      <c r="A332">
        <v>328</v>
      </c>
      <c r="B332" t="s">
        <v>461</v>
      </c>
      <c r="C332">
        <v>1</v>
      </c>
      <c r="D332" s="1">
        <v>45740</v>
      </c>
      <c r="E332">
        <v>74.06</v>
      </c>
      <c r="F332">
        <v>74.06</v>
      </c>
    </row>
    <row r="333" spans="1:6">
      <c r="A333">
        <v>330</v>
      </c>
      <c r="B333" t="s">
        <v>952</v>
      </c>
      <c r="C333">
        <v>4</v>
      </c>
      <c r="D333" s="1">
        <v>45755</v>
      </c>
      <c r="E333">
        <v>22.36</v>
      </c>
      <c r="F333">
        <v>89.44</v>
      </c>
    </row>
    <row r="334" spans="1:6">
      <c r="A334">
        <v>331</v>
      </c>
      <c r="B334" t="s">
        <v>471</v>
      </c>
      <c r="C334">
        <v>2</v>
      </c>
      <c r="D334" s="1">
        <v>45755</v>
      </c>
      <c r="E334">
        <v>316.44</v>
      </c>
      <c r="F334">
        <v>632.88</v>
      </c>
    </row>
    <row r="335" spans="1:6">
      <c r="A335">
        <v>332</v>
      </c>
      <c r="B335" t="s">
        <v>471</v>
      </c>
      <c r="C335">
        <v>2</v>
      </c>
      <c r="D335" s="1">
        <v>45755</v>
      </c>
      <c r="E335">
        <v>316.44</v>
      </c>
      <c r="F335">
        <v>632.88</v>
      </c>
    </row>
    <row r="336" spans="1:6">
      <c r="A336">
        <v>333</v>
      </c>
      <c r="B336" t="s">
        <v>468</v>
      </c>
      <c r="C336">
        <v>10</v>
      </c>
      <c r="D336" s="1">
        <v>45755</v>
      </c>
      <c r="E336">
        <v>7.95</v>
      </c>
      <c r="F336">
        <v>79.5</v>
      </c>
    </row>
    <row r="337" spans="1:6">
      <c r="A337">
        <v>334</v>
      </c>
      <c r="B337" t="s">
        <v>468</v>
      </c>
      <c r="C337">
        <v>7</v>
      </c>
      <c r="D337" s="1">
        <v>45755</v>
      </c>
      <c r="E337">
        <v>7.95</v>
      </c>
      <c r="F337">
        <v>55.65</v>
      </c>
    </row>
    <row r="338" spans="1:6">
      <c r="A338">
        <v>335</v>
      </c>
      <c r="B338" t="s">
        <v>469</v>
      </c>
      <c r="C338">
        <v>2</v>
      </c>
      <c r="D338" s="1">
        <v>45755</v>
      </c>
      <c r="E338">
        <v>7.95</v>
      </c>
      <c r="F338">
        <v>15.9</v>
      </c>
    </row>
    <row r="339" spans="1:6">
      <c r="A339">
        <v>336</v>
      </c>
      <c r="B339" t="s">
        <v>968</v>
      </c>
      <c r="C339">
        <v>1</v>
      </c>
      <c r="D339" s="1">
        <v>45755</v>
      </c>
      <c r="E339">
        <v>4.79</v>
      </c>
      <c r="F339">
        <v>4.79</v>
      </c>
    </row>
    <row r="340" spans="1:6">
      <c r="A340">
        <v>337</v>
      </c>
      <c r="B340" t="s">
        <v>825</v>
      </c>
      <c r="C340">
        <v>500</v>
      </c>
      <c r="D340" s="1">
        <v>45757</v>
      </c>
      <c r="E340">
        <v>122.3</v>
      </c>
      <c r="F340">
        <v>61150</v>
      </c>
    </row>
    <row r="341" spans="1:6">
      <c r="A341">
        <v>342</v>
      </c>
      <c r="B341" t="s">
        <v>424</v>
      </c>
      <c r="C341">
        <v>1</v>
      </c>
      <c r="D341" s="1">
        <v>45757</v>
      </c>
      <c r="E341">
        <v>560.78</v>
      </c>
      <c r="F341">
        <v>560.78</v>
      </c>
    </row>
    <row r="342" spans="1:6">
      <c r="A342">
        <v>343</v>
      </c>
      <c r="B342" t="s">
        <v>795</v>
      </c>
      <c r="C342">
        <v>1</v>
      </c>
      <c r="D342" s="1">
        <v>45757</v>
      </c>
      <c r="E342">
        <v>776.9</v>
      </c>
      <c r="F342">
        <v>776.9</v>
      </c>
    </row>
    <row r="343" spans="1:6">
      <c r="A343">
        <v>338</v>
      </c>
      <c r="B343" t="s">
        <v>800</v>
      </c>
      <c r="C343">
        <v>10</v>
      </c>
      <c r="D343" s="1">
        <v>45761</v>
      </c>
      <c r="E343">
        <v>24.1</v>
      </c>
      <c r="F343">
        <v>241</v>
      </c>
    </row>
    <row r="344" spans="1:6">
      <c r="A344">
        <v>339</v>
      </c>
      <c r="B344" t="s">
        <v>832</v>
      </c>
      <c r="C344">
        <v>1</v>
      </c>
      <c r="D344" s="1">
        <v>45762</v>
      </c>
      <c r="E344">
        <v>952</v>
      </c>
      <c r="F344">
        <v>952</v>
      </c>
    </row>
    <row r="345" spans="1:6">
      <c r="A345">
        <v>340</v>
      </c>
      <c r="B345" t="s">
        <v>820</v>
      </c>
      <c r="C345">
        <v>2</v>
      </c>
      <c r="D345" s="1">
        <v>45762</v>
      </c>
      <c r="E345">
        <v>73.5</v>
      </c>
      <c r="F345">
        <v>147</v>
      </c>
    </row>
    <row r="346" spans="1:6">
      <c r="A346">
        <v>341</v>
      </c>
      <c r="B346" t="s">
        <v>803</v>
      </c>
      <c r="C346">
        <v>10</v>
      </c>
      <c r="D346" s="1">
        <v>45768</v>
      </c>
      <c r="E346">
        <v>53.95</v>
      </c>
      <c r="F346">
        <v>539.5</v>
      </c>
    </row>
    <row r="347" spans="1:6">
      <c r="A347">
        <v>344</v>
      </c>
      <c r="B347" t="s">
        <v>478</v>
      </c>
      <c r="C347">
        <v>1</v>
      </c>
      <c r="D347" s="1">
        <v>45778</v>
      </c>
      <c r="E347">
        <v>155.69999999999999</v>
      </c>
      <c r="F347">
        <v>155.69999999999999</v>
      </c>
    </row>
    <row r="348" spans="1:6">
      <c r="A348">
        <v>345</v>
      </c>
      <c r="B348" t="s">
        <v>471</v>
      </c>
      <c r="C348">
        <v>3</v>
      </c>
      <c r="D348" s="1">
        <v>45784</v>
      </c>
      <c r="E348">
        <v>316.44</v>
      </c>
      <c r="F348">
        <v>949.31999999999994</v>
      </c>
    </row>
    <row r="349" spans="1:6">
      <c r="A349">
        <v>346</v>
      </c>
      <c r="B349" t="s">
        <v>803</v>
      </c>
      <c r="C349">
        <v>17</v>
      </c>
      <c r="D349" s="1">
        <v>45786</v>
      </c>
      <c r="E349">
        <v>53.95</v>
      </c>
      <c r="F349">
        <v>917.15000000000009</v>
      </c>
    </row>
    <row r="350" spans="1:6">
      <c r="A350">
        <v>347</v>
      </c>
      <c r="B350" t="s">
        <v>468</v>
      </c>
      <c r="C350">
        <v>6</v>
      </c>
      <c r="D350" s="1">
        <v>45786</v>
      </c>
      <c r="E350">
        <v>7.95</v>
      </c>
      <c r="F350">
        <v>47.7</v>
      </c>
    </row>
    <row r="351" spans="1:6">
      <c r="A351">
        <v>348</v>
      </c>
      <c r="B351" t="s">
        <v>469</v>
      </c>
      <c r="C351">
        <v>2</v>
      </c>
      <c r="D351" s="1">
        <v>45786</v>
      </c>
      <c r="E351">
        <v>7.95</v>
      </c>
      <c r="F351">
        <v>15.9</v>
      </c>
    </row>
    <row r="352" spans="1:6">
      <c r="A352">
        <v>349</v>
      </c>
      <c r="B352" t="s">
        <v>968</v>
      </c>
      <c r="C352">
        <v>2</v>
      </c>
      <c r="D352" s="1">
        <v>45786</v>
      </c>
      <c r="E352">
        <v>4.79</v>
      </c>
      <c r="F352">
        <v>9.58</v>
      </c>
    </row>
    <row r="353" spans="1:6">
      <c r="A353">
        <v>350</v>
      </c>
      <c r="B353" t="s">
        <v>800</v>
      </c>
      <c r="C353">
        <v>3</v>
      </c>
      <c r="D353" s="1">
        <v>45786</v>
      </c>
      <c r="E353">
        <v>24.1</v>
      </c>
      <c r="F353">
        <v>72.300000000000011</v>
      </c>
    </row>
    <row r="354" spans="1:6">
      <c r="A354">
        <v>351</v>
      </c>
      <c r="B354" t="s">
        <v>800</v>
      </c>
      <c r="C354">
        <v>7</v>
      </c>
      <c r="D354" s="1">
        <v>45789</v>
      </c>
      <c r="E354">
        <v>24.1</v>
      </c>
      <c r="F354">
        <v>168.70000000000002</v>
      </c>
    </row>
    <row r="355" spans="1:6">
      <c r="A355">
        <v>352</v>
      </c>
      <c r="B355" t="s">
        <v>886</v>
      </c>
      <c r="C355">
        <v>13</v>
      </c>
      <c r="D355" s="1">
        <v>45789</v>
      </c>
      <c r="E355">
        <v>35.75</v>
      </c>
      <c r="F355">
        <v>464.75</v>
      </c>
    </row>
    <row r="356" spans="1:6">
      <c r="A356">
        <v>353</v>
      </c>
      <c r="B356" t="s">
        <v>838</v>
      </c>
      <c r="C356">
        <v>3</v>
      </c>
      <c r="D356" s="1">
        <v>45789</v>
      </c>
      <c r="E356">
        <v>391</v>
      </c>
      <c r="F356">
        <v>1173</v>
      </c>
    </row>
    <row r="357" spans="1:6">
      <c r="A357">
        <v>354</v>
      </c>
      <c r="B357" t="s">
        <v>800</v>
      </c>
      <c r="C357">
        <v>1</v>
      </c>
      <c r="D357" s="1">
        <v>45789</v>
      </c>
      <c r="E357">
        <v>24.1</v>
      </c>
      <c r="F357">
        <v>24.1</v>
      </c>
    </row>
    <row r="358" spans="1:6">
      <c r="A358">
        <v>355</v>
      </c>
      <c r="B358" t="s">
        <v>486</v>
      </c>
      <c r="C358">
        <v>1</v>
      </c>
      <c r="D358" s="1">
        <v>45790</v>
      </c>
      <c r="E358">
        <v>108.27</v>
      </c>
      <c r="F358">
        <v>108.27</v>
      </c>
    </row>
    <row r="359" spans="1:6">
      <c r="A359">
        <v>356</v>
      </c>
      <c r="B359" t="s">
        <v>483</v>
      </c>
      <c r="C359">
        <v>1</v>
      </c>
      <c r="D359" s="1">
        <v>45790</v>
      </c>
      <c r="E359">
        <v>385</v>
      </c>
      <c r="F359">
        <v>385</v>
      </c>
    </row>
    <row r="360" spans="1:6">
      <c r="A360">
        <v>357</v>
      </c>
      <c r="B360" t="s">
        <v>821</v>
      </c>
      <c r="C360">
        <v>2</v>
      </c>
      <c r="D360" s="1">
        <v>45791</v>
      </c>
      <c r="E360">
        <v>119</v>
      </c>
      <c r="F360">
        <v>238</v>
      </c>
    </row>
    <row r="361" spans="1:6">
      <c r="A361">
        <v>358</v>
      </c>
      <c r="B361" t="s">
        <v>821</v>
      </c>
      <c r="C361">
        <v>2</v>
      </c>
      <c r="D361" s="1">
        <v>45791</v>
      </c>
      <c r="E361">
        <v>119</v>
      </c>
      <c r="F361">
        <v>238</v>
      </c>
    </row>
    <row r="362" spans="1:6">
      <c r="A362">
        <v>359</v>
      </c>
      <c r="B362" t="s">
        <v>804</v>
      </c>
      <c r="C362">
        <v>9</v>
      </c>
      <c r="D362" s="1">
        <v>45793</v>
      </c>
      <c r="E362">
        <v>28.95</v>
      </c>
      <c r="F362">
        <v>260.55</v>
      </c>
    </row>
    <row r="363" spans="1:6">
      <c r="A363">
        <v>360</v>
      </c>
      <c r="B363" t="s">
        <v>882</v>
      </c>
      <c r="C363">
        <v>1</v>
      </c>
      <c r="D363" s="1">
        <v>45800</v>
      </c>
      <c r="E363">
        <v>58.92</v>
      </c>
      <c r="F363">
        <v>58.92</v>
      </c>
    </row>
    <row r="364" spans="1:6">
      <c r="A364">
        <v>361</v>
      </c>
      <c r="B364" t="s">
        <v>471</v>
      </c>
      <c r="C364">
        <v>3</v>
      </c>
      <c r="D364" s="1">
        <v>45800</v>
      </c>
      <c r="E364">
        <v>316.44</v>
      </c>
      <c r="F364">
        <v>949.31999999999994</v>
      </c>
    </row>
    <row r="365" spans="1:6">
      <c r="A365">
        <v>362</v>
      </c>
      <c r="B365" t="s">
        <v>468</v>
      </c>
      <c r="C365">
        <v>16</v>
      </c>
      <c r="D365" s="1">
        <v>45800</v>
      </c>
      <c r="E365">
        <v>7.95</v>
      </c>
      <c r="F365">
        <v>127.2</v>
      </c>
    </row>
    <row r="366" spans="1:6">
      <c r="A366">
        <v>363</v>
      </c>
      <c r="B366" t="s">
        <v>469</v>
      </c>
      <c r="C366">
        <v>4</v>
      </c>
      <c r="D366" s="1">
        <v>45800</v>
      </c>
      <c r="E366">
        <v>7.95</v>
      </c>
      <c r="F366">
        <v>31.8</v>
      </c>
    </row>
    <row r="367" spans="1:6">
      <c r="A367">
        <v>369</v>
      </c>
      <c r="B367" t="s">
        <v>791</v>
      </c>
      <c r="C367">
        <v>1</v>
      </c>
      <c r="D367" s="1">
        <v>45804</v>
      </c>
      <c r="E367">
        <v>413.32</v>
      </c>
      <c r="F367">
        <v>413.32</v>
      </c>
    </row>
    <row r="368" spans="1:6">
      <c r="A368">
        <v>364</v>
      </c>
      <c r="B368" t="s">
        <v>803</v>
      </c>
      <c r="C368">
        <v>10</v>
      </c>
      <c r="D368" s="1">
        <v>45805</v>
      </c>
      <c r="E368">
        <v>53.95</v>
      </c>
      <c r="F368">
        <v>539.5</v>
      </c>
    </row>
    <row r="369" spans="1:6">
      <c r="A369">
        <v>365</v>
      </c>
      <c r="B369" t="s">
        <v>53</v>
      </c>
      <c r="C369">
        <v>1</v>
      </c>
      <c r="D369" s="1">
        <v>45806</v>
      </c>
      <c r="E369">
        <v>24.75</v>
      </c>
      <c r="F369">
        <v>24.75</v>
      </c>
    </row>
    <row r="370" spans="1:6">
      <c r="A370">
        <v>366</v>
      </c>
      <c r="B370" t="s">
        <v>53</v>
      </c>
      <c r="C370">
        <v>1</v>
      </c>
      <c r="D370" s="1">
        <v>45806</v>
      </c>
      <c r="E370">
        <v>24.75</v>
      </c>
      <c r="F370">
        <v>24.75</v>
      </c>
    </row>
    <row r="371" spans="1:6">
      <c r="A371">
        <v>367</v>
      </c>
      <c r="B371" t="s">
        <v>455</v>
      </c>
      <c r="C371">
        <v>2</v>
      </c>
      <c r="D371" s="1">
        <v>45806</v>
      </c>
      <c r="E371">
        <v>80</v>
      </c>
      <c r="F371">
        <v>160</v>
      </c>
    </row>
    <row r="372" spans="1:6">
      <c r="A372">
        <v>368</v>
      </c>
      <c r="B372" t="s">
        <v>455</v>
      </c>
      <c r="C372">
        <v>2</v>
      </c>
      <c r="D372" s="1">
        <v>45806</v>
      </c>
      <c r="E372">
        <v>80</v>
      </c>
      <c r="F372">
        <v>160</v>
      </c>
    </row>
    <row r="373" spans="1:6">
      <c r="A373">
        <v>372</v>
      </c>
      <c r="B373" t="s">
        <v>424</v>
      </c>
      <c r="C373">
        <v>1</v>
      </c>
      <c r="D373" s="1">
        <v>45807</v>
      </c>
      <c r="E373">
        <v>560.78</v>
      </c>
      <c r="F373">
        <v>560.78</v>
      </c>
    </row>
    <row r="374" spans="1:6">
      <c r="A374">
        <v>370</v>
      </c>
      <c r="B374" t="s">
        <v>800</v>
      </c>
      <c r="C374">
        <v>6</v>
      </c>
      <c r="D374" s="1">
        <v>45810</v>
      </c>
      <c r="E374">
        <v>24.1</v>
      </c>
      <c r="F374">
        <v>144.60000000000002</v>
      </c>
    </row>
    <row r="375" spans="1:6">
      <c r="A375">
        <v>371</v>
      </c>
      <c r="B375" t="s">
        <v>944</v>
      </c>
      <c r="C375">
        <v>1</v>
      </c>
      <c r="D375" s="1">
        <v>45811</v>
      </c>
      <c r="E375">
        <v>552</v>
      </c>
      <c r="F375">
        <v>552</v>
      </c>
    </row>
    <row r="376" spans="1:6">
      <c r="A376">
        <v>373</v>
      </c>
      <c r="B376" t="s">
        <v>800</v>
      </c>
      <c r="C376">
        <v>15</v>
      </c>
      <c r="D376" s="1">
        <v>45825</v>
      </c>
      <c r="E376">
        <v>24.1</v>
      </c>
      <c r="F376">
        <v>361.5</v>
      </c>
    </row>
    <row r="377" spans="1:6">
      <c r="A377">
        <v>374</v>
      </c>
      <c r="B377" t="s">
        <v>804</v>
      </c>
      <c r="C377">
        <v>13</v>
      </c>
      <c r="D377" s="1">
        <v>45825</v>
      </c>
      <c r="E377">
        <v>28.95</v>
      </c>
      <c r="F377">
        <v>376.34999999999997</v>
      </c>
    </row>
    <row r="378" spans="1:6">
      <c r="A378">
        <v>375</v>
      </c>
      <c r="B378" t="s">
        <v>468</v>
      </c>
      <c r="C378">
        <v>13</v>
      </c>
      <c r="D378" s="1">
        <v>45825</v>
      </c>
      <c r="E378">
        <v>7.95</v>
      </c>
      <c r="F378">
        <v>103.35000000000001</v>
      </c>
    </row>
    <row r="379" spans="1:6">
      <c r="A379">
        <v>376</v>
      </c>
      <c r="B379" t="s">
        <v>886</v>
      </c>
      <c r="C379">
        <v>13</v>
      </c>
      <c r="D379" s="1">
        <v>45825</v>
      </c>
      <c r="E379">
        <v>35.75</v>
      </c>
      <c r="F379">
        <v>464.75</v>
      </c>
    </row>
    <row r="380" spans="1:6">
      <c r="A380">
        <v>377</v>
      </c>
      <c r="B380" t="s">
        <v>772</v>
      </c>
      <c r="C380">
        <v>2</v>
      </c>
      <c r="D380" s="1">
        <v>45827</v>
      </c>
      <c r="E380">
        <v>34.69</v>
      </c>
      <c r="F380">
        <v>69.38</v>
      </c>
    </row>
    <row r="381" spans="1:6">
      <c r="A381">
        <v>378</v>
      </c>
      <c r="B381" t="s">
        <v>53</v>
      </c>
      <c r="C381">
        <v>1</v>
      </c>
      <c r="D381" s="1">
        <v>45828</v>
      </c>
      <c r="E381">
        <v>24.75</v>
      </c>
      <c r="F381">
        <v>24.75</v>
      </c>
    </row>
    <row r="382" spans="1:6">
      <c r="A382">
        <v>379</v>
      </c>
      <c r="B382" t="s">
        <v>803</v>
      </c>
      <c r="C382">
        <v>10</v>
      </c>
      <c r="D382" s="1">
        <v>45840</v>
      </c>
      <c r="E382">
        <v>53.95</v>
      </c>
      <c r="F382">
        <v>539.5</v>
      </c>
    </row>
    <row r="383" spans="1:6">
      <c r="A383">
        <v>380</v>
      </c>
      <c r="B383" t="s">
        <v>471</v>
      </c>
      <c r="C383">
        <v>2</v>
      </c>
      <c r="D383" s="1">
        <v>45847</v>
      </c>
      <c r="E383">
        <v>316.44</v>
      </c>
      <c r="F383">
        <v>632.88</v>
      </c>
    </row>
    <row r="384" spans="1:6">
      <c r="A384">
        <v>381</v>
      </c>
      <c r="B384" t="s">
        <v>461</v>
      </c>
      <c r="C384">
        <v>1</v>
      </c>
      <c r="D384" s="1">
        <v>45847</v>
      </c>
      <c r="E384">
        <v>74.06</v>
      </c>
      <c r="F384">
        <v>74.06</v>
      </c>
    </row>
    <row r="385" spans="1:6">
      <c r="A385">
        <v>382</v>
      </c>
      <c r="B385" t="s">
        <v>471</v>
      </c>
      <c r="C385">
        <v>2</v>
      </c>
      <c r="D385" s="1">
        <v>45847</v>
      </c>
      <c r="E385">
        <v>316.44</v>
      </c>
      <c r="F385">
        <v>632.88</v>
      </c>
    </row>
    <row r="386" spans="1:6">
      <c r="A386">
        <v>383</v>
      </c>
      <c r="B386" t="s">
        <v>461</v>
      </c>
      <c r="C386">
        <v>1</v>
      </c>
      <c r="D386" s="1">
        <v>45847</v>
      </c>
      <c r="E386">
        <v>74.06</v>
      </c>
      <c r="F386">
        <v>74.06</v>
      </c>
    </row>
    <row r="387" spans="1:6">
      <c r="A387">
        <v>384</v>
      </c>
      <c r="B387" t="s">
        <v>882</v>
      </c>
      <c r="C387">
        <v>1</v>
      </c>
      <c r="D387" s="1">
        <v>45847</v>
      </c>
      <c r="E387">
        <v>58.92</v>
      </c>
      <c r="F387">
        <v>58.92</v>
      </c>
    </row>
    <row r="388" spans="1:6">
      <c r="A388">
        <v>385</v>
      </c>
      <c r="B388" t="s">
        <v>882</v>
      </c>
      <c r="C388">
        <v>1</v>
      </c>
      <c r="D388" s="1">
        <v>45847</v>
      </c>
      <c r="E388">
        <v>58.92</v>
      </c>
      <c r="F388">
        <v>58.92</v>
      </c>
    </row>
    <row r="389" spans="1:6">
      <c r="A389">
        <v>386</v>
      </c>
      <c r="B389" t="s">
        <v>896</v>
      </c>
      <c r="C389">
        <v>1</v>
      </c>
      <c r="D389" s="1">
        <v>45847</v>
      </c>
      <c r="E389">
        <v>211.18</v>
      </c>
      <c r="F389">
        <v>211.18</v>
      </c>
    </row>
    <row r="390" spans="1:6">
      <c r="A390">
        <v>387</v>
      </c>
      <c r="B390" t="s">
        <v>803</v>
      </c>
      <c r="C390">
        <v>3</v>
      </c>
      <c r="D390" s="1">
        <v>45853</v>
      </c>
      <c r="E390">
        <v>53.95</v>
      </c>
      <c r="F390">
        <v>161.85000000000002</v>
      </c>
    </row>
    <row r="391" spans="1:6">
      <c r="A391">
        <v>388</v>
      </c>
      <c r="B391" t="s">
        <v>840</v>
      </c>
      <c r="C391">
        <v>1</v>
      </c>
      <c r="D391" s="1">
        <v>45855</v>
      </c>
      <c r="E391">
        <v>27.2</v>
      </c>
      <c r="F391">
        <v>27.2</v>
      </c>
    </row>
    <row r="392" spans="1:6">
      <c r="A392">
        <v>389</v>
      </c>
      <c r="B392" t="s">
        <v>838</v>
      </c>
      <c r="C392">
        <v>2</v>
      </c>
      <c r="D392" s="1">
        <v>45855</v>
      </c>
      <c r="E392">
        <v>391</v>
      </c>
      <c r="F392">
        <v>782</v>
      </c>
    </row>
    <row r="393" spans="1:6">
      <c r="A393">
        <v>415</v>
      </c>
      <c r="B393" t="s">
        <v>327</v>
      </c>
      <c r="C393">
        <v>1</v>
      </c>
      <c r="D393" s="1">
        <v>45857</v>
      </c>
      <c r="E393">
        <v>547.4</v>
      </c>
      <c r="F393">
        <v>547.4</v>
      </c>
    </row>
    <row r="394" spans="1:6">
      <c r="A394">
        <v>390</v>
      </c>
      <c r="B394" t="s">
        <v>472</v>
      </c>
      <c r="C394">
        <v>1</v>
      </c>
      <c r="D394" s="1">
        <v>45859</v>
      </c>
      <c r="E394">
        <v>180</v>
      </c>
      <c r="F394">
        <v>180</v>
      </c>
    </row>
    <row r="395" spans="1:6">
      <c r="A395">
        <v>391</v>
      </c>
      <c r="B395" t="s">
        <v>327</v>
      </c>
      <c r="C395">
        <v>1</v>
      </c>
      <c r="D395" s="1">
        <v>45860</v>
      </c>
      <c r="E395">
        <v>547.4</v>
      </c>
      <c r="F395">
        <v>547.4</v>
      </c>
    </row>
    <row r="396" spans="1:6">
      <c r="A396">
        <v>392</v>
      </c>
      <c r="B396" t="s">
        <v>795</v>
      </c>
      <c r="C396">
        <v>1</v>
      </c>
      <c r="D396" s="1">
        <v>45860</v>
      </c>
      <c r="E396">
        <v>776.9</v>
      </c>
      <c r="F396">
        <v>776.9</v>
      </c>
    </row>
    <row r="397" spans="1:6">
      <c r="A397">
        <v>393</v>
      </c>
      <c r="B397" t="s">
        <v>886</v>
      </c>
      <c r="C397">
        <v>15</v>
      </c>
      <c r="D397" s="1">
        <v>45860</v>
      </c>
      <c r="E397">
        <v>35.75</v>
      </c>
      <c r="F397">
        <v>536.25</v>
      </c>
    </row>
    <row r="398" spans="1:6">
      <c r="A398">
        <v>394</v>
      </c>
      <c r="B398" t="s">
        <v>800</v>
      </c>
      <c r="C398">
        <v>12</v>
      </c>
      <c r="D398" s="1">
        <v>45860</v>
      </c>
      <c r="E398">
        <v>24.1</v>
      </c>
      <c r="F398">
        <v>289.20000000000005</v>
      </c>
    </row>
    <row r="399" spans="1:6">
      <c r="A399">
        <v>395</v>
      </c>
      <c r="B399" t="s">
        <v>468</v>
      </c>
      <c r="C399">
        <v>15</v>
      </c>
      <c r="D399" s="1">
        <v>45870</v>
      </c>
      <c r="E399">
        <v>7.95</v>
      </c>
      <c r="F399">
        <v>119.25</v>
      </c>
    </row>
    <row r="400" spans="1:6">
      <c r="A400">
        <v>396</v>
      </c>
      <c r="B400" t="s">
        <v>968</v>
      </c>
      <c r="C400">
        <v>5</v>
      </c>
      <c r="D400" s="1">
        <v>45870</v>
      </c>
      <c r="E400">
        <v>4.79</v>
      </c>
      <c r="F400">
        <v>23.95</v>
      </c>
    </row>
    <row r="401" spans="1:6">
      <c r="A401">
        <v>397</v>
      </c>
      <c r="B401" t="s">
        <v>501</v>
      </c>
      <c r="C401">
        <v>1</v>
      </c>
      <c r="D401" s="1">
        <v>45870</v>
      </c>
      <c r="E401">
        <v>75</v>
      </c>
      <c r="F401">
        <v>75</v>
      </c>
    </row>
    <row r="402" spans="1:6">
      <c r="A402">
        <v>398</v>
      </c>
      <c r="B402" t="s">
        <v>469</v>
      </c>
      <c r="C402">
        <v>9</v>
      </c>
      <c r="D402" s="1">
        <v>45874</v>
      </c>
      <c r="E402">
        <v>7.95</v>
      </c>
      <c r="F402">
        <v>71.55</v>
      </c>
    </row>
    <row r="403" spans="1:6">
      <c r="A403">
        <v>399</v>
      </c>
      <c r="B403" t="s">
        <v>424</v>
      </c>
      <c r="C403">
        <v>1</v>
      </c>
      <c r="D403" s="1">
        <v>45874</v>
      </c>
      <c r="E403">
        <v>560.78</v>
      </c>
      <c r="F403">
        <v>560.78</v>
      </c>
    </row>
    <row r="404" spans="1:6">
      <c r="A404">
        <v>400</v>
      </c>
      <c r="B404" t="s">
        <v>820</v>
      </c>
      <c r="C404">
        <v>2</v>
      </c>
      <c r="D404" s="1">
        <v>45874</v>
      </c>
      <c r="E404">
        <v>73.5</v>
      </c>
      <c r="F404">
        <v>147</v>
      </c>
    </row>
    <row r="405" spans="1:6">
      <c r="A405">
        <v>401</v>
      </c>
      <c r="B405" t="s">
        <v>819</v>
      </c>
      <c r="C405">
        <v>2</v>
      </c>
      <c r="D405" s="1">
        <v>45874</v>
      </c>
      <c r="E405">
        <v>120</v>
      </c>
      <c r="F405">
        <v>240</v>
      </c>
    </row>
    <row r="406" spans="1:6">
      <c r="A406">
        <v>402</v>
      </c>
      <c r="B406" t="s">
        <v>886</v>
      </c>
      <c r="C406">
        <v>20</v>
      </c>
      <c r="D406" s="1">
        <v>45875</v>
      </c>
      <c r="E406">
        <v>35.75</v>
      </c>
      <c r="F406">
        <v>715</v>
      </c>
    </row>
    <row r="407" spans="1:6">
      <c r="A407">
        <v>403</v>
      </c>
      <c r="B407" t="s">
        <v>800</v>
      </c>
      <c r="C407">
        <v>20</v>
      </c>
      <c r="D407" s="1">
        <v>45875</v>
      </c>
      <c r="E407">
        <v>24.1</v>
      </c>
      <c r="F407">
        <v>482</v>
      </c>
    </row>
    <row r="408" spans="1:6">
      <c r="A408">
        <v>404</v>
      </c>
      <c r="B408" t="s">
        <v>803</v>
      </c>
      <c r="C408">
        <v>15</v>
      </c>
      <c r="D408" s="1">
        <v>45880</v>
      </c>
      <c r="E408">
        <v>53.95</v>
      </c>
      <c r="F408">
        <v>809.25</v>
      </c>
    </row>
    <row r="409" spans="1:6">
      <c r="A409">
        <v>405</v>
      </c>
      <c r="B409" t="s">
        <v>887</v>
      </c>
      <c r="C409">
        <v>1</v>
      </c>
      <c r="D409" s="1">
        <v>45880</v>
      </c>
      <c r="E409">
        <v>412</v>
      </c>
      <c r="F409">
        <v>412</v>
      </c>
    </row>
    <row r="410" spans="1:6">
      <c r="A410">
        <v>406</v>
      </c>
      <c r="B410" t="s">
        <v>887</v>
      </c>
      <c r="C410">
        <v>1</v>
      </c>
      <c r="D410" s="1">
        <v>45880</v>
      </c>
      <c r="E410">
        <v>412</v>
      </c>
      <c r="F410">
        <v>412</v>
      </c>
    </row>
    <row r="411" spans="1:6">
      <c r="A411">
        <v>407</v>
      </c>
      <c r="B411" t="s">
        <v>471</v>
      </c>
      <c r="C411">
        <v>4</v>
      </c>
      <c r="D411" s="1">
        <v>45880</v>
      </c>
      <c r="E411">
        <v>316.44</v>
      </c>
      <c r="F411">
        <v>1265.76</v>
      </c>
    </row>
    <row r="412" spans="1:6">
      <c r="A412">
        <v>408</v>
      </c>
      <c r="B412" t="s">
        <v>952</v>
      </c>
      <c r="C412">
        <v>2</v>
      </c>
      <c r="D412" s="1">
        <v>45880</v>
      </c>
      <c r="E412">
        <v>22.36</v>
      </c>
      <c r="F412">
        <v>44.72</v>
      </c>
    </row>
    <row r="413" spans="1:6">
      <c r="A413">
        <v>409</v>
      </c>
      <c r="B413" t="s">
        <v>882</v>
      </c>
      <c r="C413">
        <v>1</v>
      </c>
      <c r="D413" s="1">
        <v>45880</v>
      </c>
      <c r="E413">
        <v>58.92</v>
      </c>
      <c r="F413">
        <v>58.92</v>
      </c>
    </row>
    <row r="414" spans="1:6">
      <c r="A414">
        <v>410</v>
      </c>
      <c r="B414" t="s">
        <v>455</v>
      </c>
      <c r="C414">
        <v>1</v>
      </c>
      <c r="D414" s="1">
        <v>45887</v>
      </c>
      <c r="E414">
        <v>80</v>
      </c>
      <c r="F414">
        <v>80</v>
      </c>
    </row>
    <row r="415" spans="1:6">
      <c r="A415">
        <v>411</v>
      </c>
      <c r="B415" t="s">
        <v>455</v>
      </c>
      <c r="C415">
        <v>1</v>
      </c>
      <c r="D415" s="1">
        <v>45887</v>
      </c>
      <c r="E415">
        <v>80</v>
      </c>
      <c r="F415">
        <v>80</v>
      </c>
    </row>
    <row r="416" spans="1:6">
      <c r="A416">
        <v>412</v>
      </c>
      <c r="B416" t="s">
        <v>469</v>
      </c>
      <c r="C416">
        <v>2</v>
      </c>
      <c r="D416" s="1">
        <v>45896</v>
      </c>
      <c r="E416">
        <v>7.95</v>
      </c>
      <c r="F416">
        <v>15.9</v>
      </c>
    </row>
    <row r="417" spans="1:6">
      <c r="A417">
        <v>413</v>
      </c>
      <c r="B417" t="s">
        <v>838</v>
      </c>
      <c r="C417">
        <v>1</v>
      </c>
      <c r="D417" s="1">
        <v>45896</v>
      </c>
      <c r="E417">
        <v>391</v>
      </c>
      <c r="F417">
        <v>391</v>
      </c>
    </row>
    <row r="418" spans="1:6">
      <c r="A418">
        <v>414</v>
      </c>
      <c r="B418" t="s">
        <v>968</v>
      </c>
      <c r="C418">
        <v>2</v>
      </c>
      <c r="D418" s="1">
        <v>45896</v>
      </c>
      <c r="E418">
        <v>4.79</v>
      </c>
      <c r="F418">
        <v>9.58</v>
      </c>
    </row>
    <row r="419" spans="1:6">
      <c r="A419">
        <v>416</v>
      </c>
      <c r="B419" t="s">
        <v>468</v>
      </c>
      <c r="C419">
        <v>10</v>
      </c>
      <c r="D419" s="1">
        <v>45908</v>
      </c>
      <c r="E419">
        <v>7.95</v>
      </c>
      <c r="F419">
        <v>79.5</v>
      </c>
    </row>
    <row r="420" spans="1:6">
      <c r="A420">
        <v>417</v>
      </c>
      <c r="B420" t="s">
        <v>424</v>
      </c>
      <c r="C420">
        <v>1</v>
      </c>
      <c r="D420" s="1">
        <v>45908</v>
      </c>
      <c r="E420">
        <v>560.78</v>
      </c>
      <c r="F420">
        <v>560.78</v>
      </c>
    </row>
    <row r="421" spans="1:6">
      <c r="A421">
        <v>418</v>
      </c>
      <c r="B421" t="s">
        <v>424</v>
      </c>
      <c r="C421">
        <v>1</v>
      </c>
      <c r="D421" s="1">
        <v>45908</v>
      </c>
      <c r="E421">
        <v>560.78</v>
      </c>
      <c r="F421">
        <v>560.78</v>
      </c>
    </row>
    <row r="422" spans="1:6">
      <c r="A422">
        <v>419</v>
      </c>
      <c r="B422" t="s">
        <v>424</v>
      </c>
      <c r="C422">
        <v>1</v>
      </c>
      <c r="D422" s="1">
        <v>45908</v>
      </c>
      <c r="E422">
        <v>560.78</v>
      </c>
      <c r="F422">
        <v>560.78</v>
      </c>
    </row>
    <row r="423" spans="1:6">
      <c r="A423">
        <v>420</v>
      </c>
      <c r="B423" t="s">
        <v>795</v>
      </c>
      <c r="C423">
        <v>1</v>
      </c>
      <c r="D423" s="1">
        <v>45908</v>
      </c>
      <c r="E423">
        <v>776.9</v>
      </c>
      <c r="F423">
        <v>776.9</v>
      </c>
    </row>
    <row r="424" spans="1:6">
      <c r="A424">
        <v>421</v>
      </c>
      <c r="B424" t="s">
        <v>795</v>
      </c>
      <c r="C424">
        <v>1</v>
      </c>
      <c r="D424" s="1">
        <v>45908</v>
      </c>
      <c r="E424">
        <v>776.9</v>
      </c>
      <c r="F424">
        <v>776.9</v>
      </c>
    </row>
    <row r="425" spans="1:6">
      <c r="A425">
        <v>422</v>
      </c>
      <c r="B425" t="s">
        <v>886</v>
      </c>
      <c r="C425">
        <v>15</v>
      </c>
      <c r="D425" s="1">
        <v>45909</v>
      </c>
      <c r="E425">
        <v>35.75</v>
      </c>
      <c r="F425">
        <v>536.25</v>
      </c>
    </row>
    <row r="426" spans="1:6">
      <c r="A426">
        <v>423</v>
      </c>
      <c r="B426" t="s">
        <v>471</v>
      </c>
      <c r="C426">
        <v>3</v>
      </c>
      <c r="D426" s="1">
        <v>45909</v>
      </c>
      <c r="E426">
        <v>316.44</v>
      </c>
      <c r="F426">
        <v>949.31999999999994</v>
      </c>
    </row>
    <row r="427" spans="1:6">
      <c r="A427">
        <v>424</v>
      </c>
      <c r="B427" t="s">
        <v>461</v>
      </c>
      <c r="C427">
        <v>1</v>
      </c>
      <c r="D427" s="1">
        <v>45909</v>
      </c>
      <c r="E427">
        <v>74.06</v>
      </c>
      <c r="F427">
        <v>74.06</v>
      </c>
    </row>
    <row r="428" spans="1:6">
      <c r="A428">
        <v>425</v>
      </c>
      <c r="B428" t="s">
        <v>330</v>
      </c>
      <c r="C428">
        <v>1</v>
      </c>
      <c r="D428" s="1">
        <v>45909</v>
      </c>
      <c r="E428">
        <v>733.5</v>
      </c>
      <c r="F428">
        <v>733.5</v>
      </c>
    </row>
    <row r="429" spans="1:6">
      <c r="A429">
        <v>426</v>
      </c>
      <c r="B429" t="s">
        <v>830</v>
      </c>
      <c r="C429">
        <v>1</v>
      </c>
      <c r="D429" s="1">
        <v>45909</v>
      </c>
      <c r="E429">
        <v>354</v>
      </c>
      <c r="F429">
        <v>354</v>
      </c>
    </row>
    <row r="430" spans="1:6">
      <c r="A430">
        <v>428</v>
      </c>
      <c r="B430" t="s">
        <v>1064</v>
      </c>
      <c r="C430">
        <v>1</v>
      </c>
      <c r="D430" s="1">
        <v>45909</v>
      </c>
      <c r="E430">
        <v>326.3</v>
      </c>
      <c r="F430">
        <v>326.3</v>
      </c>
    </row>
    <row r="431" spans="1:6">
      <c r="A431">
        <v>427</v>
      </c>
      <c r="B431" t="s">
        <v>821</v>
      </c>
      <c r="C431">
        <v>2</v>
      </c>
      <c r="D431" s="1">
        <v>45918</v>
      </c>
      <c r="E431">
        <v>119</v>
      </c>
      <c r="F431">
        <v>238</v>
      </c>
    </row>
    <row r="432" spans="1:6">
      <c r="A432">
        <v>429</v>
      </c>
      <c r="B432" t="s">
        <v>952</v>
      </c>
      <c r="C432">
        <v>1</v>
      </c>
      <c r="D432" s="1">
        <v>45923</v>
      </c>
      <c r="E432">
        <v>22.36</v>
      </c>
      <c r="F432">
        <v>22.36</v>
      </c>
    </row>
    <row r="433" spans="1:6">
      <c r="A433">
        <v>430</v>
      </c>
      <c r="B433" t="s">
        <v>483</v>
      </c>
      <c r="C433">
        <v>1</v>
      </c>
      <c r="D433" s="1">
        <v>45924</v>
      </c>
      <c r="E433">
        <v>385</v>
      </c>
      <c r="F433">
        <v>385</v>
      </c>
    </row>
    <row r="434" spans="1:6">
      <c r="A434">
        <v>431</v>
      </c>
      <c r="B434" t="s">
        <v>803</v>
      </c>
      <c r="C434">
        <v>2</v>
      </c>
      <c r="D434" s="1">
        <v>45929</v>
      </c>
      <c r="E434">
        <v>53.95</v>
      </c>
      <c r="F434">
        <v>107.9</v>
      </c>
    </row>
    <row r="435" spans="1:6">
      <c r="A435">
        <v>432</v>
      </c>
      <c r="B435" t="s">
        <v>800</v>
      </c>
      <c r="C435">
        <v>15</v>
      </c>
      <c r="D435" s="1">
        <v>45932</v>
      </c>
      <c r="E435">
        <v>24.1</v>
      </c>
      <c r="F435">
        <v>361.5</v>
      </c>
    </row>
    <row r="436" spans="1:6">
      <c r="A436">
        <v>433</v>
      </c>
      <c r="B436" t="s">
        <v>327</v>
      </c>
      <c r="C436">
        <v>4</v>
      </c>
      <c r="D436" s="1">
        <v>45937</v>
      </c>
      <c r="E436">
        <v>547.4</v>
      </c>
      <c r="F436">
        <v>2189.6</v>
      </c>
    </row>
    <row r="437" spans="1:6">
      <c r="A437">
        <v>436</v>
      </c>
      <c r="B437" t="s">
        <v>468</v>
      </c>
      <c r="C437">
        <v>17</v>
      </c>
      <c r="D437" s="1">
        <v>45937</v>
      </c>
      <c r="E437">
        <v>7.95</v>
      </c>
      <c r="F437">
        <v>135.15</v>
      </c>
    </row>
    <row r="438" spans="1:6">
      <c r="A438">
        <v>437</v>
      </c>
      <c r="B438" t="s">
        <v>477</v>
      </c>
      <c r="C438">
        <v>20</v>
      </c>
      <c r="D438" s="1">
        <v>45937</v>
      </c>
      <c r="E438">
        <v>3.38</v>
      </c>
      <c r="F438">
        <v>67.599999999999994</v>
      </c>
    </row>
    <row r="439" spans="1:6">
      <c r="A439">
        <v>438</v>
      </c>
      <c r="B439" t="s">
        <v>469</v>
      </c>
      <c r="C439">
        <v>10</v>
      </c>
      <c r="D439" s="1">
        <v>45937</v>
      </c>
      <c r="E439">
        <v>7.95</v>
      </c>
      <c r="F439">
        <v>79.5</v>
      </c>
    </row>
    <row r="440" spans="1:6">
      <c r="A440">
        <v>439</v>
      </c>
      <c r="B440" t="s">
        <v>968</v>
      </c>
      <c r="C440">
        <v>3</v>
      </c>
      <c r="D440" s="1">
        <v>45937</v>
      </c>
      <c r="E440">
        <v>4.79</v>
      </c>
      <c r="F440">
        <v>14.370000000000001</v>
      </c>
    </row>
    <row r="441" spans="1:6">
      <c r="A441">
        <v>440</v>
      </c>
      <c r="B441" t="s">
        <v>455</v>
      </c>
      <c r="C441">
        <v>2</v>
      </c>
      <c r="D441" s="1">
        <v>45937</v>
      </c>
      <c r="E441">
        <v>80</v>
      </c>
      <c r="F441">
        <v>160</v>
      </c>
    </row>
    <row r="442" spans="1:6">
      <c r="A442">
        <v>441</v>
      </c>
      <c r="B442" t="s">
        <v>489</v>
      </c>
      <c r="C442">
        <v>1</v>
      </c>
      <c r="D442" s="1">
        <v>45938</v>
      </c>
      <c r="E442">
        <v>697.62</v>
      </c>
      <c r="F442">
        <v>697.62</v>
      </c>
    </row>
    <row r="443" spans="1:6">
      <c r="A443">
        <v>442</v>
      </c>
      <c r="B443" t="s">
        <v>800</v>
      </c>
      <c r="C443">
        <v>5</v>
      </c>
      <c r="D443" s="1">
        <v>45938</v>
      </c>
      <c r="E443">
        <v>24.1</v>
      </c>
      <c r="F443">
        <v>120.5</v>
      </c>
    </row>
    <row r="444" spans="1:6">
      <c r="A444">
        <v>449</v>
      </c>
      <c r="B444" t="s">
        <v>327</v>
      </c>
      <c r="C444">
        <v>1</v>
      </c>
      <c r="D444" s="1">
        <v>45939</v>
      </c>
      <c r="E444">
        <v>547.4</v>
      </c>
      <c r="F444">
        <v>547.4</v>
      </c>
    </row>
    <row r="445" spans="1:6">
      <c r="A445">
        <v>443</v>
      </c>
      <c r="B445" t="s">
        <v>486</v>
      </c>
      <c r="C445">
        <v>1</v>
      </c>
      <c r="D445" s="1">
        <v>45944</v>
      </c>
      <c r="E445">
        <v>108.27</v>
      </c>
      <c r="F445">
        <v>108.27</v>
      </c>
    </row>
    <row r="446" spans="1:6">
      <c r="A446">
        <v>444</v>
      </c>
      <c r="B446" t="s">
        <v>800</v>
      </c>
      <c r="C446">
        <v>9</v>
      </c>
      <c r="D446" s="1">
        <v>45944</v>
      </c>
      <c r="E446">
        <v>24.1</v>
      </c>
      <c r="F446">
        <v>216.9</v>
      </c>
    </row>
    <row r="447" spans="1:6">
      <c r="A447">
        <v>445</v>
      </c>
      <c r="B447" t="s">
        <v>838</v>
      </c>
      <c r="C447">
        <v>1</v>
      </c>
      <c r="D447" s="1">
        <v>45944</v>
      </c>
      <c r="E447">
        <v>391</v>
      </c>
      <c r="F447">
        <v>391</v>
      </c>
    </row>
    <row r="448" spans="1:6">
      <c r="A448">
        <v>446</v>
      </c>
      <c r="B448" t="s">
        <v>330</v>
      </c>
      <c r="C448">
        <v>1</v>
      </c>
      <c r="D448" s="1">
        <v>45945</v>
      </c>
      <c r="E448">
        <v>733.5</v>
      </c>
      <c r="F448">
        <v>733.5</v>
      </c>
    </row>
    <row r="449" spans="1:6">
      <c r="A449">
        <v>447</v>
      </c>
      <c r="B449" t="s">
        <v>803</v>
      </c>
      <c r="C449">
        <v>18</v>
      </c>
      <c r="D449" s="1">
        <v>45945</v>
      </c>
      <c r="E449">
        <v>53.95</v>
      </c>
      <c r="F449">
        <v>971.1</v>
      </c>
    </row>
    <row r="450" spans="1:6">
      <c r="A450">
        <v>448</v>
      </c>
      <c r="B450" t="s">
        <v>886</v>
      </c>
      <c r="C450">
        <v>20</v>
      </c>
      <c r="D450" s="1">
        <v>45946</v>
      </c>
      <c r="E450">
        <v>35.75</v>
      </c>
      <c r="F450">
        <v>715</v>
      </c>
    </row>
    <row r="451" spans="1:6">
      <c r="A451">
        <v>450</v>
      </c>
      <c r="B451" t="s">
        <v>424</v>
      </c>
      <c r="C451">
        <v>1</v>
      </c>
      <c r="D451" s="1">
        <v>45947</v>
      </c>
      <c r="E451">
        <v>560.78</v>
      </c>
      <c r="F451">
        <v>560.78</v>
      </c>
    </row>
    <row r="452" spans="1:6">
      <c r="A452">
        <v>451</v>
      </c>
      <c r="B452" t="s">
        <v>831</v>
      </c>
      <c r="C452">
        <v>1</v>
      </c>
      <c r="D452" s="1">
        <v>45952</v>
      </c>
      <c r="E452">
        <v>400</v>
      </c>
      <c r="F452">
        <v>400</v>
      </c>
    </row>
    <row r="453" spans="1:6">
      <c r="A453">
        <v>452</v>
      </c>
      <c r="B453" t="s">
        <v>427</v>
      </c>
      <c r="C453">
        <v>1</v>
      </c>
      <c r="D453" s="1">
        <v>45958</v>
      </c>
      <c r="E453">
        <v>130</v>
      </c>
      <c r="F453">
        <v>130</v>
      </c>
    </row>
    <row r="454" spans="1:6">
      <c r="A454">
        <v>453</v>
      </c>
      <c r="B454" t="s">
        <v>823</v>
      </c>
      <c r="C454">
        <v>20</v>
      </c>
      <c r="D454" s="1">
        <v>45974</v>
      </c>
      <c r="E454">
        <v>27.1</v>
      </c>
      <c r="F454">
        <v>542</v>
      </c>
    </row>
    <row r="455" spans="1:6">
      <c r="A455">
        <v>454</v>
      </c>
      <c r="B455" t="s">
        <v>838</v>
      </c>
      <c r="C455">
        <v>5</v>
      </c>
      <c r="D455" s="1">
        <v>45974</v>
      </c>
      <c r="E455">
        <v>391</v>
      </c>
      <c r="F455">
        <v>1955</v>
      </c>
    </row>
    <row r="456" spans="1:6">
      <c r="A456">
        <v>455</v>
      </c>
      <c r="B456" t="s">
        <v>952</v>
      </c>
      <c r="C456">
        <v>5</v>
      </c>
      <c r="D456" s="1">
        <v>45974</v>
      </c>
      <c r="E456">
        <v>22.36</v>
      </c>
      <c r="F456">
        <v>111.8</v>
      </c>
    </row>
    <row r="457" spans="1:6">
      <c r="A457">
        <v>456</v>
      </c>
      <c r="B457" t="s">
        <v>471</v>
      </c>
      <c r="C457">
        <v>5</v>
      </c>
      <c r="D457" s="1">
        <v>45974</v>
      </c>
      <c r="E457">
        <v>316.44</v>
      </c>
      <c r="F457">
        <v>1582.2</v>
      </c>
    </row>
    <row r="458" spans="1:6">
      <c r="A458">
        <v>457</v>
      </c>
      <c r="B458" t="s">
        <v>461</v>
      </c>
      <c r="C458">
        <v>1</v>
      </c>
      <c r="D458" s="1">
        <v>45974</v>
      </c>
      <c r="E458">
        <v>74.06</v>
      </c>
      <c r="F458">
        <v>74.06</v>
      </c>
    </row>
    <row r="459" spans="1:6">
      <c r="A459">
        <v>466</v>
      </c>
      <c r="B459" t="s">
        <v>1064</v>
      </c>
      <c r="C459">
        <v>1</v>
      </c>
      <c r="D459" s="1">
        <v>45974</v>
      </c>
      <c r="E459">
        <v>731.47</v>
      </c>
      <c r="F459">
        <v>731.47</v>
      </c>
    </row>
    <row r="460" spans="1:6">
      <c r="A460">
        <v>458</v>
      </c>
      <c r="B460" t="s">
        <v>887</v>
      </c>
      <c r="C460">
        <v>2</v>
      </c>
      <c r="D460" s="1">
        <v>45978</v>
      </c>
      <c r="E460">
        <v>412</v>
      </c>
      <c r="F460">
        <v>824</v>
      </c>
    </row>
    <row r="461" spans="1:6">
      <c r="A461">
        <v>459</v>
      </c>
      <c r="B461" t="s">
        <v>800</v>
      </c>
      <c r="C461">
        <v>18</v>
      </c>
      <c r="D461" s="1">
        <v>45978</v>
      </c>
      <c r="E461">
        <v>24.1</v>
      </c>
      <c r="F461">
        <v>433.8</v>
      </c>
    </row>
    <row r="462" spans="1:6">
      <c r="A462">
        <v>460</v>
      </c>
      <c r="B462" t="s">
        <v>803</v>
      </c>
      <c r="C462">
        <v>15</v>
      </c>
      <c r="D462" s="1">
        <v>45978</v>
      </c>
      <c r="E462">
        <v>53.95</v>
      </c>
      <c r="F462">
        <v>809.25</v>
      </c>
    </row>
    <row r="463" spans="1:6">
      <c r="A463">
        <v>461</v>
      </c>
      <c r="B463" t="s">
        <v>468</v>
      </c>
      <c r="C463">
        <v>10</v>
      </c>
      <c r="D463" s="1">
        <v>45978</v>
      </c>
      <c r="E463">
        <v>7.95</v>
      </c>
      <c r="F463">
        <v>79.5</v>
      </c>
    </row>
    <row r="464" spans="1:6">
      <c r="A464">
        <v>462</v>
      </c>
      <c r="B464" t="s">
        <v>327</v>
      </c>
      <c r="C464">
        <v>1</v>
      </c>
      <c r="D464" s="1">
        <v>45978</v>
      </c>
      <c r="E464">
        <v>547.4</v>
      </c>
      <c r="F464">
        <v>547.4</v>
      </c>
    </row>
    <row r="465" spans="1:6">
      <c r="A465">
        <v>463</v>
      </c>
      <c r="B465" t="s">
        <v>424</v>
      </c>
      <c r="C465">
        <v>1</v>
      </c>
      <c r="D465" s="1">
        <v>45978</v>
      </c>
      <c r="E465">
        <v>560.78</v>
      </c>
      <c r="F465">
        <v>560.78</v>
      </c>
    </row>
    <row r="466" spans="1:6">
      <c r="A466">
        <v>464</v>
      </c>
      <c r="B466" t="s">
        <v>455</v>
      </c>
      <c r="C466">
        <v>2</v>
      </c>
      <c r="D466" s="1">
        <v>45978</v>
      </c>
      <c r="E466">
        <v>80</v>
      </c>
      <c r="F466">
        <v>160</v>
      </c>
    </row>
    <row r="467" spans="1:6">
      <c r="A467">
        <v>465</v>
      </c>
      <c r="B467" t="s">
        <v>466</v>
      </c>
      <c r="C467">
        <v>1</v>
      </c>
      <c r="D467" s="1">
        <v>45978</v>
      </c>
      <c r="E467">
        <v>390</v>
      </c>
      <c r="F467">
        <v>390</v>
      </c>
    </row>
    <row r="468" spans="1:6">
      <c r="A468">
        <v>467</v>
      </c>
      <c r="B468" t="s">
        <v>485</v>
      </c>
      <c r="C468">
        <v>1</v>
      </c>
      <c r="D468" s="1">
        <v>45981</v>
      </c>
      <c r="E468">
        <v>111.4</v>
      </c>
      <c r="F468">
        <v>111.4</v>
      </c>
    </row>
    <row r="469" spans="1:6">
      <c r="A469">
        <v>468</v>
      </c>
      <c r="B469" t="s">
        <v>854</v>
      </c>
      <c r="C469">
        <v>1</v>
      </c>
      <c r="D469" s="1">
        <v>45981</v>
      </c>
      <c r="F469">
        <v>0</v>
      </c>
    </row>
    <row r="470" spans="1:6">
      <c r="A470">
        <v>469</v>
      </c>
      <c r="B470" t="s">
        <v>469</v>
      </c>
      <c r="C470">
        <v>4</v>
      </c>
      <c r="D470" s="1">
        <v>45982</v>
      </c>
      <c r="E470">
        <v>7.95</v>
      </c>
      <c r="F470">
        <v>31.8</v>
      </c>
    </row>
    <row r="471" spans="1:6">
      <c r="A471">
        <v>470</v>
      </c>
      <c r="B471" t="s">
        <v>800</v>
      </c>
      <c r="C471">
        <v>8</v>
      </c>
      <c r="D471" s="1">
        <v>45988</v>
      </c>
      <c r="E471">
        <v>24.1</v>
      </c>
      <c r="F471">
        <v>192.8</v>
      </c>
    </row>
    <row r="472" spans="1:6">
      <c r="A472">
        <v>471</v>
      </c>
      <c r="B472" t="s">
        <v>823</v>
      </c>
      <c r="C472">
        <v>20</v>
      </c>
      <c r="D472" s="1">
        <v>45988</v>
      </c>
      <c r="E472">
        <v>27.1</v>
      </c>
      <c r="F472">
        <v>542</v>
      </c>
    </row>
    <row r="473" spans="1:6">
      <c r="A473">
        <v>472</v>
      </c>
      <c r="B473" t="s">
        <v>800</v>
      </c>
      <c r="C473">
        <v>5</v>
      </c>
      <c r="D473" s="1">
        <v>45988</v>
      </c>
      <c r="E473">
        <v>24.1</v>
      </c>
      <c r="F473">
        <v>120.5</v>
      </c>
    </row>
    <row r="474" spans="1:6">
      <c r="A474">
        <v>473</v>
      </c>
      <c r="B474" t="s">
        <v>469</v>
      </c>
      <c r="C474">
        <v>10</v>
      </c>
      <c r="D474" s="1">
        <v>45996</v>
      </c>
      <c r="E474">
        <v>7.95</v>
      </c>
      <c r="F474">
        <v>79.5</v>
      </c>
    </row>
    <row r="475" spans="1:6">
      <c r="A475">
        <v>474</v>
      </c>
      <c r="B475" t="s">
        <v>968</v>
      </c>
      <c r="C475">
        <v>10</v>
      </c>
      <c r="D475" s="1">
        <v>45996</v>
      </c>
      <c r="E475">
        <v>4.79</v>
      </c>
      <c r="F475">
        <v>47.9</v>
      </c>
    </row>
    <row r="476" spans="1:6">
      <c r="A476">
        <v>475</v>
      </c>
      <c r="B476" t="s">
        <v>469</v>
      </c>
      <c r="C476">
        <v>5</v>
      </c>
      <c r="D476" s="1">
        <v>45996</v>
      </c>
      <c r="E476">
        <v>7.95</v>
      </c>
      <c r="F476">
        <v>39.75</v>
      </c>
    </row>
    <row r="477" spans="1:6">
      <c r="A477">
        <v>476</v>
      </c>
      <c r="B477" t="s">
        <v>468</v>
      </c>
      <c r="C477">
        <v>20</v>
      </c>
      <c r="D477" s="1">
        <v>45996</v>
      </c>
      <c r="E477">
        <v>7.95</v>
      </c>
      <c r="F477">
        <v>159</v>
      </c>
    </row>
    <row r="478" spans="1:6">
      <c r="A478">
        <v>477</v>
      </c>
      <c r="B478" t="s">
        <v>327</v>
      </c>
      <c r="C478">
        <v>1</v>
      </c>
      <c r="D478" s="1">
        <v>46001</v>
      </c>
      <c r="E478">
        <v>547.4</v>
      </c>
      <c r="F478">
        <v>547.4</v>
      </c>
    </row>
    <row r="479" spans="1:6">
      <c r="A479">
        <v>478</v>
      </c>
      <c r="B479" t="s">
        <v>795</v>
      </c>
      <c r="C479">
        <v>1</v>
      </c>
      <c r="D479" s="1">
        <v>46001</v>
      </c>
      <c r="E479">
        <v>776.9</v>
      </c>
      <c r="F479">
        <v>776.9</v>
      </c>
    </row>
    <row r="480" spans="1:6">
      <c r="A480">
        <v>479</v>
      </c>
      <c r="B480" t="s">
        <v>424</v>
      </c>
      <c r="C480">
        <v>1</v>
      </c>
      <c r="D480" s="1">
        <v>46001</v>
      </c>
      <c r="E480">
        <v>560.78</v>
      </c>
      <c r="F480">
        <v>560.78</v>
      </c>
    </row>
    <row r="481" spans="1:6">
      <c r="A481">
        <v>480</v>
      </c>
      <c r="B481" t="s">
        <v>483</v>
      </c>
      <c r="C481">
        <v>1</v>
      </c>
      <c r="D481" s="1">
        <v>46006</v>
      </c>
      <c r="E481">
        <v>385</v>
      </c>
      <c r="F481">
        <v>385</v>
      </c>
    </row>
    <row r="482" spans="1:6">
      <c r="A482">
        <v>481</v>
      </c>
      <c r="B482" t="s">
        <v>315</v>
      </c>
      <c r="C482">
        <v>1</v>
      </c>
      <c r="D482" s="1">
        <v>46006</v>
      </c>
      <c r="E482">
        <v>153</v>
      </c>
      <c r="F482">
        <v>153</v>
      </c>
    </row>
    <row r="483" spans="1:6">
      <c r="A483">
        <v>482</v>
      </c>
      <c r="B483" t="s">
        <v>471</v>
      </c>
      <c r="C483">
        <v>2</v>
      </c>
      <c r="D483" s="1">
        <v>46008</v>
      </c>
      <c r="E483">
        <v>316.44</v>
      </c>
      <c r="F483">
        <v>632.88</v>
      </c>
    </row>
    <row r="484" spans="1:6">
      <c r="A484">
        <v>483</v>
      </c>
      <c r="B484" t="s">
        <v>455</v>
      </c>
      <c r="C484">
        <v>3</v>
      </c>
      <c r="D484" s="1">
        <v>46008</v>
      </c>
      <c r="E484">
        <v>80</v>
      </c>
      <c r="F484">
        <v>240</v>
      </c>
    </row>
    <row r="485" spans="1:6">
      <c r="A485">
        <v>484</v>
      </c>
      <c r="B485" t="s">
        <v>823</v>
      </c>
      <c r="C485">
        <v>7</v>
      </c>
      <c r="D485" s="1">
        <v>46009</v>
      </c>
      <c r="E485">
        <v>27.1</v>
      </c>
      <c r="F485">
        <v>189.70000000000002</v>
      </c>
    </row>
    <row r="486" spans="1:6">
      <c r="A486">
        <v>485</v>
      </c>
      <c r="B486" t="s">
        <v>820</v>
      </c>
      <c r="C486">
        <v>2</v>
      </c>
      <c r="D486" s="1">
        <v>46010</v>
      </c>
      <c r="E486">
        <v>73.5</v>
      </c>
      <c r="F486">
        <v>147</v>
      </c>
    </row>
    <row r="487" spans="1:6">
      <c r="A487">
        <v>486</v>
      </c>
      <c r="B487" t="s">
        <v>803</v>
      </c>
      <c r="C487">
        <v>17</v>
      </c>
      <c r="D487" s="1">
        <v>46014</v>
      </c>
      <c r="E487">
        <v>53.95</v>
      </c>
      <c r="F487">
        <v>917.15000000000009</v>
      </c>
    </row>
    <row r="488" spans="1:6">
      <c r="A488">
        <v>501</v>
      </c>
      <c r="B488" t="s">
        <v>829</v>
      </c>
      <c r="C488">
        <v>1</v>
      </c>
      <c r="D488" s="1">
        <v>46031</v>
      </c>
      <c r="E488">
        <v>304.5</v>
      </c>
      <c r="F488">
        <v>304.5</v>
      </c>
    </row>
    <row r="489" spans="1:6">
      <c r="A489">
        <v>487</v>
      </c>
      <c r="B489" t="s">
        <v>887</v>
      </c>
      <c r="C489">
        <v>2</v>
      </c>
      <c r="D489" s="1">
        <v>46034</v>
      </c>
      <c r="E489">
        <v>412</v>
      </c>
      <c r="F489">
        <v>824</v>
      </c>
    </row>
    <row r="490" spans="1:6">
      <c r="A490">
        <v>488</v>
      </c>
      <c r="B490" t="s">
        <v>882</v>
      </c>
      <c r="C490">
        <v>1</v>
      </c>
      <c r="D490" s="1">
        <v>46034</v>
      </c>
      <c r="E490">
        <v>58.92</v>
      </c>
      <c r="F490">
        <v>58.92</v>
      </c>
    </row>
    <row r="491" spans="1:6">
      <c r="A491">
        <v>489</v>
      </c>
      <c r="B491" t="s">
        <v>461</v>
      </c>
      <c r="C491">
        <v>1</v>
      </c>
      <c r="D491" s="1">
        <v>46034</v>
      </c>
      <c r="E491">
        <v>74.06</v>
      </c>
      <c r="F491">
        <v>74.06</v>
      </c>
    </row>
    <row r="492" spans="1:6">
      <c r="A492">
        <v>490</v>
      </c>
      <c r="B492" t="s">
        <v>952</v>
      </c>
      <c r="C492">
        <v>3</v>
      </c>
      <c r="D492" s="1">
        <v>46034</v>
      </c>
      <c r="E492">
        <v>22.36</v>
      </c>
      <c r="F492">
        <v>67.08</v>
      </c>
    </row>
    <row r="493" spans="1:6">
      <c r="A493">
        <v>491</v>
      </c>
      <c r="B493" t="s">
        <v>838</v>
      </c>
      <c r="C493">
        <v>2</v>
      </c>
      <c r="D493" s="1">
        <v>46035</v>
      </c>
      <c r="E493">
        <v>391</v>
      </c>
      <c r="F493">
        <v>782</v>
      </c>
    </row>
    <row r="494" spans="1:6">
      <c r="A494">
        <v>492</v>
      </c>
      <c r="B494" t="s">
        <v>314</v>
      </c>
      <c r="C494">
        <v>1</v>
      </c>
      <c r="D494" s="1">
        <v>46035</v>
      </c>
      <c r="E494">
        <v>268.95999999999998</v>
      </c>
      <c r="F494">
        <v>268.95999999999998</v>
      </c>
    </row>
    <row r="495" spans="1:6">
      <c r="A495">
        <v>493</v>
      </c>
      <c r="B495" t="s">
        <v>800</v>
      </c>
      <c r="C495">
        <v>15</v>
      </c>
      <c r="D495" s="1">
        <v>46036</v>
      </c>
      <c r="E495">
        <v>24.1</v>
      </c>
      <c r="F495">
        <v>361.5</v>
      </c>
    </row>
    <row r="496" spans="1:6">
      <c r="A496">
        <v>494</v>
      </c>
      <c r="B496" t="s">
        <v>886</v>
      </c>
      <c r="C496">
        <v>12</v>
      </c>
      <c r="D496" s="1">
        <v>46036</v>
      </c>
      <c r="E496">
        <v>35.75</v>
      </c>
      <c r="F496">
        <v>429</v>
      </c>
    </row>
    <row r="497" spans="1:6">
      <c r="A497">
        <v>495</v>
      </c>
      <c r="B497" t="s">
        <v>823</v>
      </c>
      <c r="C497">
        <v>6</v>
      </c>
      <c r="D497" s="1">
        <v>46036</v>
      </c>
      <c r="E497">
        <v>27.1</v>
      </c>
      <c r="F497">
        <v>162.60000000000002</v>
      </c>
    </row>
    <row r="498" spans="1:6">
      <c r="A498">
        <v>496</v>
      </c>
      <c r="B498" t="s">
        <v>327</v>
      </c>
      <c r="C498">
        <v>2</v>
      </c>
      <c r="D498" s="1">
        <v>46041</v>
      </c>
      <c r="E498">
        <v>547.4</v>
      </c>
      <c r="F498">
        <v>1094.8</v>
      </c>
    </row>
    <row r="499" spans="1:6">
      <c r="A499">
        <v>497</v>
      </c>
      <c r="B499" t="s">
        <v>424</v>
      </c>
      <c r="C499">
        <v>2</v>
      </c>
      <c r="D499" s="1">
        <v>46041</v>
      </c>
      <c r="E499">
        <v>560.78</v>
      </c>
      <c r="F499">
        <v>1121.56</v>
      </c>
    </row>
    <row r="500" spans="1:6">
      <c r="A500">
        <v>498</v>
      </c>
      <c r="B500" t="s">
        <v>803</v>
      </c>
      <c r="C500">
        <v>15</v>
      </c>
      <c r="D500" s="1">
        <v>46042</v>
      </c>
      <c r="E500">
        <v>53.95</v>
      </c>
      <c r="F500">
        <v>809.25</v>
      </c>
    </row>
    <row r="501" spans="1:6">
      <c r="A501">
        <v>499</v>
      </c>
      <c r="B501" t="s">
        <v>840</v>
      </c>
      <c r="C501">
        <v>1</v>
      </c>
      <c r="D501" s="1">
        <v>46043</v>
      </c>
      <c r="E501">
        <v>27.2</v>
      </c>
      <c r="F501">
        <v>27.2</v>
      </c>
    </row>
    <row r="502" spans="1:6">
      <c r="A502">
        <v>500</v>
      </c>
      <c r="B502" t="s">
        <v>471</v>
      </c>
      <c r="C502">
        <v>1</v>
      </c>
      <c r="D502" s="1">
        <v>46044</v>
      </c>
      <c r="E502">
        <v>316.44</v>
      </c>
      <c r="F502">
        <v>316.44</v>
      </c>
    </row>
    <row r="503" spans="1:6">
      <c r="A503">
        <v>502</v>
      </c>
      <c r="B503" t="s">
        <v>466</v>
      </c>
      <c r="C503">
        <v>1</v>
      </c>
      <c r="D503" s="1">
        <v>46055</v>
      </c>
      <c r="E503">
        <v>390</v>
      </c>
      <c r="F503">
        <v>390</v>
      </c>
    </row>
    <row r="504" spans="1:6">
      <c r="A504">
        <v>503</v>
      </c>
      <c r="B504" t="s">
        <v>469</v>
      </c>
      <c r="C504">
        <v>15</v>
      </c>
      <c r="D504" s="1">
        <v>46066</v>
      </c>
      <c r="E504">
        <v>7.95</v>
      </c>
      <c r="F504">
        <v>119.25</v>
      </c>
    </row>
    <row r="505" spans="1:6">
      <c r="A505">
        <v>504</v>
      </c>
      <c r="B505" t="s">
        <v>468</v>
      </c>
      <c r="C505">
        <v>20</v>
      </c>
      <c r="D505" s="1">
        <v>46066</v>
      </c>
      <c r="E505">
        <v>7.95</v>
      </c>
      <c r="F505">
        <v>159</v>
      </c>
    </row>
    <row r="506" spans="1:6">
      <c r="A506">
        <v>505</v>
      </c>
      <c r="B506" t="s">
        <v>821</v>
      </c>
      <c r="C506">
        <v>1</v>
      </c>
      <c r="D506" s="1">
        <v>46070</v>
      </c>
      <c r="E506">
        <v>119</v>
      </c>
      <c r="F506">
        <v>119</v>
      </c>
    </row>
    <row r="507" spans="1:6">
      <c r="A507">
        <v>506</v>
      </c>
      <c r="B507" t="s">
        <v>803</v>
      </c>
      <c r="C507">
        <v>15</v>
      </c>
      <c r="D507" s="1">
        <v>46072</v>
      </c>
      <c r="E507">
        <v>53.95</v>
      </c>
      <c r="F507">
        <v>809.25</v>
      </c>
    </row>
    <row r="508" spans="1:6">
      <c r="A508">
        <v>507</v>
      </c>
      <c r="B508" t="s">
        <v>791</v>
      </c>
      <c r="C508">
        <v>1</v>
      </c>
      <c r="D508" s="1">
        <v>46072</v>
      </c>
      <c r="E508">
        <v>413.32</v>
      </c>
      <c r="F508">
        <v>413.32</v>
      </c>
    </row>
    <row r="509" spans="1:6">
      <c r="A509">
        <v>508</v>
      </c>
      <c r="B509" t="s">
        <v>53</v>
      </c>
      <c r="C509">
        <v>2</v>
      </c>
      <c r="D509" s="1">
        <v>46072</v>
      </c>
      <c r="E509">
        <v>24.75</v>
      </c>
      <c r="F509">
        <v>49.5</v>
      </c>
    </row>
    <row r="510" spans="1:6">
      <c r="A510">
        <v>509</v>
      </c>
      <c r="B510" t="s">
        <v>820</v>
      </c>
      <c r="C510">
        <v>2</v>
      </c>
      <c r="D510" s="1">
        <v>46072</v>
      </c>
      <c r="E510">
        <v>73.5</v>
      </c>
      <c r="F510">
        <v>147</v>
      </c>
    </row>
    <row r="511" spans="1:6">
      <c r="A511">
        <v>510</v>
      </c>
      <c r="B511" t="s">
        <v>819</v>
      </c>
      <c r="C511">
        <v>2</v>
      </c>
      <c r="D511" s="1">
        <v>46072</v>
      </c>
      <c r="E511">
        <v>120</v>
      </c>
      <c r="F511">
        <v>240</v>
      </c>
    </row>
    <row r="512" spans="1:6">
      <c r="A512">
        <v>511</v>
      </c>
      <c r="B512" t="s">
        <v>800</v>
      </c>
      <c r="C512">
        <v>10</v>
      </c>
      <c r="D512" s="1">
        <v>46073</v>
      </c>
      <c r="E512">
        <v>24.1</v>
      </c>
      <c r="F512">
        <v>241</v>
      </c>
    </row>
    <row r="513" spans="1:6">
      <c r="A513">
        <v>512</v>
      </c>
      <c r="B513" t="s">
        <v>823</v>
      </c>
      <c r="C513">
        <v>15</v>
      </c>
      <c r="D513" s="1">
        <v>46073</v>
      </c>
      <c r="E513">
        <v>27.1</v>
      </c>
      <c r="F513">
        <v>406.5</v>
      </c>
    </row>
  </sheetData>
  <sortState xmlns:xlrd2="http://schemas.microsoft.com/office/spreadsheetml/2017/richdata2" ref="A2:F507">
    <sortCondition ref="D1"/>
  </sortState>
  <customSheetViews>
    <customSheetView guid="{2D7AA37D-8C06-47FC-8F44-3FA6E78D04F2}" state="hidden">
      <selection activeCell="L8" sqref="L8"/>
      <pageMargins left="0.7" right="0.7" top="0.75" bottom="0.75" header="0.3" footer="0.3"/>
      <pageSetup orientation="portrait" r:id="rId1"/>
    </customSheetView>
    <customSheetView guid="{9C8ADCBA-1E8C-4961-B877-3E192DBDFA7A}" showPageBreaks="1" state="hidden">
      <selection activeCell="L8" sqref="L8"/>
      <pageMargins left="0.7" right="0.7" top="0.75" bottom="0.75" header="0.3" footer="0.3"/>
      <pageSetup orientation="portrait" r:id="rId2"/>
    </customSheetView>
  </customSheetViews>
  <phoneticPr fontId="1" type="noConversion"/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F1050"/>
  <sheetViews>
    <sheetView topLeftCell="A994" workbookViewId="0">
      <selection activeCell="D1024" sqref="D1024"/>
    </sheetView>
  </sheetViews>
  <sheetFormatPr defaultRowHeight="14.25"/>
  <cols>
    <col min="2" max="2" width="23.265625" customWidth="1"/>
    <col min="4" max="4" width="11.86328125" customWidth="1"/>
  </cols>
  <sheetData>
    <row r="1" spans="1:6">
      <c r="A1" t="s">
        <v>9</v>
      </c>
      <c r="B1" t="s">
        <v>4</v>
      </c>
      <c r="C1" t="s">
        <v>310</v>
      </c>
      <c r="D1" t="s">
        <v>311</v>
      </c>
      <c r="E1" t="s">
        <v>312</v>
      </c>
      <c r="F1" t="s">
        <v>530</v>
      </c>
    </row>
    <row r="2" spans="1:6">
      <c r="A2">
        <v>126</v>
      </c>
      <c r="B2" t="s">
        <v>854</v>
      </c>
      <c r="C2">
        <v>1</v>
      </c>
      <c r="D2" s="1">
        <v>44657</v>
      </c>
      <c r="F2">
        <v>0</v>
      </c>
    </row>
    <row r="3" spans="1:6">
      <c r="A3">
        <v>586</v>
      </c>
      <c r="B3" t="s">
        <v>792</v>
      </c>
      <c r="C3">
        <v>1</v>
      </c>
      <c r="D3" s="1">
        <v>44950</v>
      </c>
      <c r="E3">
        <v>106.41</v>
      </c>
      <c r="F3">
        <v>0</v>
      </c>
    </row>
    <row r="4" spans="1:6">
      <c r="A4">
        <v>125</v>
      </c>
      <c r="B4" t="s">
        <v>486</v>
      </c>
      <c r="C4">
        <v>1</v>
      </c>
      <c r="D4" s="1">
        <v>45047</v>
      </c>
      <c r="E4">
        <v>108.27</v>
      </c>
      <c r="F4">
        <v>0</v>
      </c>
    </row>
    <row r="5" spans="1:6">
      <c r="A5">
        <v>460</v>
      </c>
      <c r="B5" t="s">
        <v>819</v>
      </c>
      <c r="C5">
        <v>1</v>
      </c>
      <c r="D5" s="1">
        <v>45120</v>
      </c>
      <c r="E5">
        <v>120</v>
      </c>
      <c r="F5">
        <v>0</v>
      </c>
    </row>
    <row r="6" spans="1:6">
      <c r="A6">
        <v>461</v>
      </c>
      <c r="B6" t="s">
        <v>975</v>
      </c>
      <c r="C6">
        <v>1</v>
      </c>
      <c r="D6" s="1">
        <v>45120</v>
      </c>
      <c r="E6">
        <v>120</v>
      </c>
      <c r="F6">
        <v>0</v>
      </c>
    </row>
    <row r="7" spans="1:6">
      <c r="A7">
        <v>124</v>
      </c>
      <c r="B7" t="s">
        <v>484</v>
      </c>
      <c r="C7">
        <v>1</v>
      </c>
      <c r="D7" s="1">
        <v>45175</v>
      </c>
      <c r="E7">
        <v>92.7</v>
      </c>
      <c r="F7">
        <v>0</v>
      </c>
    </row>
    <row r="8" spans="1:6">
      <c r="A8">
        <v>1</v>
      </c>
      <c r="B8" t="s">
        <v>455</v>
      </c>
      <c r="C8">
        <v>1</v>
      </c>
      <c r="D8" s="1">
        <v>45180</v>
      </c>
      <c r="E8">
        <v>80</v>
      </c>
      <c r="F8">
        <v>316.44</v>
      </c>
    </row>
    <row r="9" spans="1:6">
      <c r="A9">
        <v>2</v>
      </c>
      <c r="B9" t="s">
        <v>460</v>
      </c>
      <c r="C9">
        <v>1</v>
      </c>
      <c r="D9" s="1">
        <v>45187</v>
      </c>
      <c r="E9">
        <v>413.32</v>
      </c>
      <c r="F9">
        <v>1.8499999999999999</v>
      </c>
    </row>
    <row r="10" spans="1:6">
      <c r="A10">
        <v>3</v>
      </c>
      <c r="B10" t="s">
        <v>478</v>
      </c>
      <c r="C10">
        <v>1</v>
      </c>
      <c r="D10" s="1">
        <v>45198</v>
      </c>
      <c r="E10">
        <v>155.69999999999999</v>
      </c>
      <c r="F10">
        <v>80</v>
      </c>
    </row>
    <row r="11" spans="1:6">
      <c r="A11">
        <v>4</v>
      </c>
      <c r="B11" t="s">
        <v>471</v>
      </c>
      <c r="C11">
        <v>1</v>
      </c>
      <c r="D11" s="1">
        <v>45233</v>
      </c>
      <c r="E11">
        <v>316.44</v>
      </c>
      <c r="F11">
        <v>697.62</v>
      </c>
    </row>
    <row r="12" spans="1:6">
      <c r="A12">
        <v>5</v>
      </c>
      <c r="B12" t="s">
        <v>327</v>
      </c>
      <c r="C12">
        <v>1</v>
      </c>
      <c r="D12" s="1">
        <v>45243</v>
      </c>
      <c r="E12">
        <v>547.4</v>
      </c>
      <c r="F12">
        <v>155.69999999999999</v>
      </c>
    </row>
    <row r="13" spans="1:6">
      <c r="A13">
        <v>6</v>
      </c>
      <c r="B13" t="s">
        <v>489</v>
      </c>
      <c r="C13">
        <v>1</v>
      </c>
      <c r="D13" s="1">
        <v>45246</v>
      </c>
      <c r="E13">
        <v>697.62</v>
      </c>
      <c r="F13">
        <v>547.4</v>
      </c>
    </row>
    <row r="14" spans="1:6">
      <c r="A14">
        <v>449</v>
      </c>
      <c r="B14" t="s">
        <v>830</v>
      </c>
      <c r="C14">
        <v>1</v>
      </c>
      <c r="D14" s="1">
        <v>45251</v>
      </c>
      <c r="E14">
        <v>354</v>
      </c>
      <c r="F14">
        <v>0</v>
      </c>
    </row>
    <row r="15" spans="1:6">
      <c r="A15">
        <v>42</v>
      </c>
      <c r="B15" t="s">
        <v>461</v>
      </c>
      <c r="C15">
        <v>1</v>
      </c>
      <c r="D15" s="1">
        <v>45254</v>
      </c>
      <c r="E15">
        <v>74.06</v>
      </c>
      <c r="F15">
        <v>144</v>
      </c>
    </row>
    <row r="16" spans="1:6">
      <c r="A16">
        <v>7</v>
      </c>
      <c r="B16" t="s">
        <v>473</v>
      </c>
      <c r="C16">
        <v>1</v>
      </c>
      <c r="D16" s="1">
        <v>45258</v>
      </c>
      <c r="E16">
        <v>102.24</v>
      </c>
      <c r="F16">
        <v>155.69999999999999</v>
      </c>
    </row>
    <row r="17" spans="1:6">
      <c r="A17">
        <v>541</v>
      </c>
      <c r="B17" t="s">
        <v>478</v>
      </c>
      <c r="C17">
        <v>1</v>
      </c>
      <c r="D17" s="1">
        <v>45264</v>
      </c>
      <c r="E17">
        <v>155.69999999999999</v>
      </c>
      <c r="F17">
        <v>0</v>
      </c>
    </row>
    <row r="18" spans="1:6">
      <c r="A18">
        <v>8</v>
      </c>
      <c r="B18" t="s">
        <v>478</v>
      </c>
      <c r="C18">
        <v>1</v>
      </c>
      <c r="D18" s="1">
        <v>45265</v>
      </c>
      <c r="E18">
        <v>155.69999999999999</v>
      </c>
      <c r="F18">
        <v>413.32</v>
      </c>
    </row>
    <row r="19" spans="1:6">
      <c r="A19">
        <v>9</v>
      </c>
      <c r="B19" t="s">
        <v>457</v>
      </c>
      <c r="C19">
        <v>1</v>
      </c>
      <c r="D19" s="1">
        <v>45274</v>
      </c>
      <c r="E19">
        <v>73.5</v>
      </c>
      <c r="F19">
        <v>67.25</v>
      </c>
    </row>
    <row r="20" spans="1:6">
      <c r="A20">
        <v>10</v>
      </c>
      <c r="B20" t="s">
        <v>460</v>
      </c>
      <c r="C20">
        <v>1</v>
      </c>
      <c r="D20" s="1">
        <v>45278</v>
      </c>
      <c r="E20">
        <v>413.32</v>
      </c>
      <c r="F20">
        <v>413.32</v>
      </c>
    </row>
    <row r="21" spans="1:6">
      <c r="A21">
        <v>11</v>
      </c>
      <c r="B21" t="s">
        <v>475</v>
      </c>
      <c r="C21">
        <v>1</v>
      </c>
      <c r="D21" s="1">
        <v>45281</v>
      </c>
      <c r="E21">
        <v>35.75</v>
      </c>
      <c r="F21">
        <v>75</v>
      </c>
    </row>
    <row r="22" spans="1:6">
      <c r="A22">
        <v>12</v>
      </c>
      <c r="B22" t="s">
        <v>476</v>
      </c>
      <c r="C22">
        <v>1</v>
      </c>
      <c r="D22" s="1">
        <v>45281</v>
      </c>
      <c r="E22">
        <v>24.1</v>
      </c>
      <c r="F22">
        <v>393</v>
      </c>
    </row>
    <row r="23" spans="1:6">
      <c r="A23">
        <v>13</v>
      </c>
      <c r="B23" t="s">
        <v>328</v>
      </c>
      <c r="C23">
        <v>1</v>
      </c>
      <c r="D23" s="1">
        <v>45281</v>
      </c>
      <c r="E23">
        <v>53.95</v>
      </c>
      <c r="F23">
        <v>153</v>
      </c>
    </row>
    <row r="24" spans="1:6">
      <c r="A24">
        <v>14</v>
      </c>
      <c r="B24" t="s">
        <v>468</v>
      </c>
      <c r="C24">
        <v>1</v>
      </c>
      <c r="D24" s="1">
        <v>45282</v>
      </c>
      <c r="E24">
        <v>7.95</v>
      </c>
      <c r="F24">
        <v>176</v>
      </c>
    </row>
    <row r="25" spans="1:6">
      <c r="A25">
        <v>15</v>
      </c>
      <c r="B25" t="s">
        <v>475</v>
      </c>
      <c r="C25">
        <v>1</v>
      </c>
      <c r="D25" s="1">
        <v>45287</v>
      </c>
      <c r="E25">
        <v>35.75</v>
      </c>
      <c r="F25">
        <v>14.799999999999999</v>
      </c>
    </row>
    <row r="26" spans="1:6">
      <c r="A26">
        <v>16</v>
      </c>
      <c r="B26" t="s">
        <v>476</v>
      </c>
      <c r="C26">
        <v>1</v>
      </c>
      <c r="D26" s="1">
        <v>45287</v>
      </c>
      <c r="E26">
        <v>24.1</v>
      </c>
      <c r="F26">
        <v>179.2</v>
      </c>
    </row>
    <row r="27" spans="1:6">
      <c r="A27">
        <v>17</v>
      </c>
      <c r="B27" t="s">
        <v>328</v>
      </c>
      <c r="C27">
        <v>1</v>
      </c>
      <c r="D27" s="1">
        <v>45295</v>
      </c>
      <c r="E27">
        <v>53.95</v>
      </c>
      <c r="F27">
        <v>14.5</v>
      </c>
    </row>
    <row r="28" spans="1:6">
      <c r="A28">
        <v>18</v>
      </c>
      <c r="B28" t="s">
        <v>468</v>
      </c>
      <c r="C28">
        <v>1</v>
      </c>
      <c r="D28" s="1">
        <v>45295</v>
      </c>
      <c r="E28">
        <v>7.95</v>
      </c>
      <c r="F28">
        <v>20.28</v>
      </c>
    </row>
    <row r="29" spans="1:6">
      <c r="A29">
        <v>19</v>
      </c>
      <c r="B29" t="s">
        <v>475</v>
      </c>
      <c r="C29">
        <v>1</v>
      </c>
      <c r="D29" s="1">
        <v>45295</v>
      </c>
      <c r="E29">
        <v>35.75</v>
      </c>
      <c r="F29">
        <v>31.8</v>
      </c>
    </row>
    <row r="30" spans="1:6">
      <c r="A30">
        <v>20</v>
      </c>
      <c r="B30" t="s">
        <v>476</v>
      </c>
      <c r="C30">
        <v>1</v>
      </c>
      <c r="D30" s="1">
        <v>45295</v>
      </c>
      <c r="E30">
        <v>24.1</v>
      </c>
      <c r="F30">
        <v>79.5</v>
      </c>
    </row>
    <row r="31" spans="1:6">
      <c r="A31">
        <v>21</v>
      </c>
      <c r="B31" t="s">
        <v>476</v>
      </c>
      <c r="C31">
        <v>1</v>
      </c>
      <c r="D31" s="1">
        <v>45296</v>
      </c>
      <c r="E31">
        <v>24.1</v>
      </c>
      <c r="F31">
        <v>64</v>
      </c>
    </row>
    <row r="32" spans="1:6">
      <c r="A32">
        <v>22</v>
      </c>
      <c r="B32" t="s">
        <v>475</v>
      </c>
      <c r="C32">
        <v>1</v>
      </c>
      <c r="D32" s="1">
        <v>45300</v>
      </c>
      <c r="E32">
        <v>35.75</v>
      </c>
      <c r="F32">
        <v>8.25</v>
      </c>
    </row>
    <row r="33" spans="1:6">
      <c r="A33">
        <v>23</v>
      </c>
      <c r="B33" t="s">
        <v>471</v>
      </c>
      <c r="C33">
        <v>1</v>
      </c>
      <c r="D33" s="1">
        <v>45300</v>
      </c>
      <c r="E33">
        <v>316.44</v>
      </c>
      <c r="F33">
        <v>108</v>
      </c>
    </row>
    <row r="34" spans="1:6">
      <c r="A34">
        <v>24</v>
      </c>
      <c r="B34" t="s">
        <v>459</v>
      </c>
      <c r="C34">
        <v>1</v>
      </c>
      <c r="D34" s="1">
        <v>45300</v>
      </c>
      <c r="E34">
        <v>776.9</v>
      </c>
      <c r="F34">
        <v>49.800000000000004</v>
      </c>
    </row>
    <row r="35" spans="1:6">
      <c r="A35">
        <v>25</v>
      </c>
      <c r="B35" t="s">
        <v>327</v>
      </c>
      <c r="C35">
        <v>1</v>
      </c>
      <c r="D35" s="1">
        <v>45300</v>
      </c>
      <c r="E35">
        <v>547.4</v>
      </c>
      <c r="F35">
        <v>44.72</v>
      </c>
    </row>
    <row r="36" spans="1:6">
      <c r="A36">
        <v>26</v>
      </c>
      <c r="B36" t="s">
        <v>483</v>
      </c>
      <c r="C36">
        <v>1</v>
      </c>
      <c r="D36" s="1">
        <v>45300</v>
      </c>
      <c r="E36">
        <v>385</v>
      </c>
      <c r="F36">
        <v>25</v>
      </c>
    </row>
    <row r="37" spans="1:6">
      <c r="A37">
        <v>27</v>
      </c>
      <c r="B37" t="s">
        <v>328</v>
      </c>
      <c r="C37">
        <v>1</v>
      </c>
      <c r="D37" s="1">
        <v>45301</v>
      </c>
      <c r="E37">
        <v>53.95</v>
      </c>
      <c r="F37">
        <v>140</v>
      </c>
    </row>
    <row r="38" spans="1:6">
      <c r="A38">
        <v>28</v>
      </c>
      <c r="B38" t="s">
        <v>468</v>
      </c>
      <c r="C38">
        <v>2</v>
      </c>
      <c r="D38" s="1">
        <v>45302</v>
      </c>
      <c r="E38">
        <v>7.95</v>
      </c>
      <c r="F38">
        <v>377.65000000000003</v>
      </c>
    </row>
    <row r="39" spans="1:6">
      <c r="A39">
        <v>29</v>
      </c>
      <c r="B39" t="s">
        <v>457</v>
      </c>
      <c r="C39">
        <v>1</v>
      </c>
      <c r="D39" s="1">
        <v>45302</v>
      </c>
      <c r="E39">
        <v>73.5</v>
      </c>
      <c r="F39">
        <v>144</v>
      </c>
    </row>
    <row r="40" spans="1:6">
      <c r="A40">
        <v>30</v>
      </c>
      <c r="B40" t="s">
        <v>423</v>
      </c>
      <c r="C40">
        <v>1</v>
      </c>
      <c r="D40" s="1">
        <v>45310</v>
      </c>
      <c r="E40">
        <v>560.78</v>
      </c>
      <c r="F40">
        <v>232.26</v>
      </c>
    </row>
    <row r="41" spans="1:6">
      <c r="A41">
        <v>191</v>
      </c>
      <c r="B41" t="s">
        <v>330</v>
      </c>
      <c r="C41">
        <v>1</v>
      </c>
      <c r="D41" s="1">
        <v>45314</v>
      </c>
      <c r="E41">
        <v>733.5</v>
      </c>
      <c r="F41">
        <v>0</v>
      </c>
    </row>
    <row r="42" spans="1:6">
      <c r="A42">
        <v>321</v>
      </c>
      <c r="B42" t="s">
        <v>53</v>
      </c>
      <c r="C42">
        <v>1</v>
      </c>
      <c r="D42" s="1">
        <v>45314</v>
      </c>
      <c r="E42">
        <v>24.75</v>
      </c>
      <c r="F42">
        <v>0</v>
      </c>
    </row>
    <row r="43" spans="1:6">
      <c r="A43">
        <v>31</v>
      </c>
      <c r="B43" t="s">
        <v>743</v>
      </c>
      <c r="C43">
        <v>1</v>
      </c>
      <c r="D43" s="1">
        <v>45315</v>
      </c>
      <c r="E43">
        <v>119</v>
      </c>
      <c r="F43">
        <v>24.75</v>
      </c>
    </row>
    <row r="44" spans="1:6">
      <c r="A44">
        <v>32</v>
      </c>
      <c r="B44" t="s">
        <v>466</v>
      </c>
      <c r="C44">
        <v>1</v>
      </c>
      <c r="D44" s="1">
        <v>45315</v>
      </c>
      <c r="E44">
        <v>390</v>
      </c>
      <c r="F44">
        <v>400</v>
      </c>
    </row>
    <row r="45" spans="1:6">
      <c r="A45">
        <v>33</v>
      </c>
      <c r="B45" t="s">
        <v>466</v>
      </c>
      <c r="C45">
        <v>1</v>
      </c>
      <c r="D45" s="1">
        <v>45315</v>
      </c>
      <c r="E45">
        <v>390</v>
      </c>
      <c r="F45">
        <v>733.5</v>
      </c>
    </row>
    <row r="46" spans="1:6">
      <c r="A46">
        <v>34</v>
      </c>
      <c r="B46" t="s">
        <v>476</v>
      </c>
      <c r="C46">
        <v>6</v>
      </c>
      <c r="D46" s="1">
        <v>45320</v>
      </c>
      <c r="E46">
        <v>24.1</v>
      </c>
      <c r="F46">
        <v>120.5</v>
      </c>
    </row>
    <row r="47" spans="1:6">
      <c r="A47">
        <v>35</v>
      </c>
      <c r="B47" t="s">
        <v>759</v>
      </c>
      <c r="C47">
        <v>1</v>
      </c>
      <c r="D47" s="1">
        <v>45321</v>
      </c>
      <c r="E47">
        <v>76.58</v>
      </c>
      <c r="F47">
        <v>107.25</v>
      </c>
    </row>
    <row r="48" spans="1:6">
      <c r="A48">
        <v>36</v>
      </c>
      <c r="B48" t="s">
        <v>457</v>
      </c>
      <c r="C48">
        <v>1</v>
      </c>
      <c r="D48" s="1">
        <v>45322</v>
      </c>
      <c r="E48">
        <v>73.5</v>
      </c>
      <c r="F48">
        <v>411</v>
      </c>
    </row>
    <row r="49" spans="1:6">
      <c r="A49">
        <v>37</v>
      </c>
      <c r="B49" t="s">
        <v>332</v>
      </c>
      <c r="C49">
        <v>1</v>
      </c>
      <c r="D49" s="1">
        <v>45322</v>
      </c>
      <c r="E49">
        <v>400</v>
      </c>
      <c r="F49">
        <v>106.41</v>
      </c>
    </row>
    <row r="50" spans="1:6">
      <c r="A50">
        <v>62</v>
      </c>
      <c r="B50" t="s">
        <v>455</v>
      </c>
      <c r="C50">
        <v>1</v>
      </c>
      <c r="D50" s="1">
        <v>45323</v>
      </c>
      <c r="E50">
        <v>80</v>
      </c>
      <c r="F50">
        <v>67.25</v>
      </c>
    </row>
    <row r="51" spans="1:6">
      <c r="A51">
        <v>38</v>
      </c>
      <c r="B51" t="s">
        <v>485</v>
      </c>
      <c r="C51">
        <v>1</v>
      </c>
      <c r="D51" s="1">
        <v>45327</v>
      </c>
      <c r="E51">
        <v>111.4</v>
      </c>
      <c r="F51">
        <v>385</v>
      </c>
    </row>
    <row r="52" spans="1:6">
      <c r="A52">
        <v>39</v>
      </c>
      <c r="B52" t="s">
        <v>476</v>
      </c>
      <c r="C52">
        <v>5</v>
      </c>
      <c r="D52" s="1">
        <v>45330</v>
      </c>
      <c r="E52">
        <v>24.1</v>
      </c>
      <c r="F52">
        <v>316.44</v>
      </c>
    </row>
    <row r="53" spans="1:6">
      <c r="A53">
        <v>40</v>
      </c>
      <c r="B53" t="s">
        <v>328</v>
      </c>
      <c r="C53">
        <v>6</v>
      </c>
      <c r="D53" s="1">
        <v>45330</v>
      </c>
      <c r="E53">
        <v>53.95</v>
      </c>
      <c r="F53">
        <v>141</v>
      </c>
    </row>
    <row r="54" spans="1:6">
      <c r="A54">
        <v>542</v>
      </c>
      <c r="B54" t="s">
        <v>427</v>
      </c>
      <c r="C54">
        <v>1</v>
      </c>
      <c r="D54" s="1">
        <v>45330</v>
      </c>
      <c r="E54">
        <v>130</v>
      </c>
      <c r="F54">
        <v>0</v>
      </c>
    </row>
    <row r="55" spans="1:6">
      <c r="A55">
        <v>41</v>
      </c>
      <c r="B55" t="s">
        <v>475</v>
      </c>
      <c r="C55">
        <v>11</v>
      </c>
      <c r="D55" s="1">
        <v>45331</v>
      </c>
      <c r="E55">
        <v>35.75</v>
      </c>
      <c r="F55">
        <v>102.24</v>
      </c>
    </row>
    <row r="56" spans="1:6">
      <c r="A56">
        <v>43</v>
      </c>
      <c r="B56" t="s">
        <v>461</v>
      </c>
      <c r="C56">
        <v>1</v>
      </c>
      <c r="D56" s="1">
        <v>45337</v>
      </c>
      <c r="E56">
        <v>74.06</v>
      </c>
      <c r="F56">
        <v>232.26</v>
      </c>
    </row>
    <row r="57" spans="1:6">
      <c r="A57">
        <v>44</v>
      </c>
      <c r="B57" t="s">
        <v>333</v>
      </c>
      <c r="C57">
        <v>1</v>
      </c>
      <c r="D57" s="1">
        <v>45342</v>
      </c>
      <c r="E57">
        <v>67.25</v>
      </c>
      <c r="F57">
        <v>120.5</v>
      </c>
    </row>
    <row r="58" spans="1:6">
      <c r="A58">
        <v>45</v>
      </c>
      <c r="B58" t="s">
        <v>328</v>
      </c>
      <c r="C58">
        <v>1</v>
      </c>
      <c r="D58" s="1">
        <v>45342</v>
      </c>
      <c r="E58">
        <v>53.95</v>
      </c>
      <c r="F58">
        <v>107.25</v>
      </c>
    </row>
    <row r="59" spans="1:6">
      <c r="A59">
        <v>46</v>
      </c>
      <c r="B59" t="s">
        <v>471</v>
      </c>
      <c r="C59">
        <v>1</v>
      </c>
      <c r="D59" s="1">
        <v>45345</v>
      </c>
      <c r="E59">
        <v>316.44</v>
      </c>
      <c r="F59">
        <v>411</v>
      </c>
    </row>
    <row r="60" spans="1:6">
      <c r="A60">
        <v>47</v>
      </c>
      <c r="B60" t="s">
        <v>468</v>
      </c>
      <c r="C60">
        <v>1</v>
      </c>
      <c r="D60" s="1">
        <v>45345</v>
      </c>
      <c r="E60">
        <v>7.95</v>
      </c>
      <c r="F60">
        <v>106.41</v>
      </c>
    </row>
    <row r="61" spans="1:6">
      <c r="A61">
        <v>48</v>
      </c>
      <c r="B61" t="s">
        <v>328</v>
      </c>
      <c r="C61">
        <v>1</v>
      </c>
      <c r="D61" s="1">
        <v>45351</v>
      </c>
      <c r="E61">
        <v>53.95</v>
      </c>
      <c r="F61">
        <v>994</v>
      </c>
    </row>
    <row r="62" spans="1:6">
      <c r="A62">
        <v>60</v>
      </c>
      <c r="B62" t="s">
        <v>423</v>
      </c>
      <c r="C62">
        <v>1</v>
      </c>
      <c r="D62" s="1">
        <v>45355</v>
      </c>
      <c r="E62">
        <v>560.78</v>
      </c>
      <c r="F62">
        <v>357.5</v>
      </c>
    </row>
    <row r="63" spans="1:6">
      <c r="A63">
        <v>49</v>
      </c>
      <c r="B63" t="s">
        <v>333</v>
      </c>
      <c r="C63">
        <v>4</v>
      </c>
      <c r="D63" s="1">
        <v>45356</v>
      </c>
      <c r="E63">
        <v>67.25</v>
      </c>
      <c r="F63">
        <v>906.63</v>
      </c>
    </row>
    <row r="64" spans="1:6">
      <c r="A64">
        <v>50</v>
      </c>
      <c r="B64" t="s">
        <v>328</v>
      </c>
      <c r="C64">
        <v>4</v>
      </c>
      <c r="D64" s="1">
        <v>45356</v>
      </c>
      <c r="E64">
        <v>53.95</v>
      </c>
      <c r="F64">
        <v>560.78</v>
      </c>
    </row>
    <row r="65" spans="1:6">
      <c r="A65">
        <v>51</v>
      </c>
      <c r="B65" t="s">
        <v>487</v>
      </c>
      <c r="C65">
        <v>1</v>
      </c>
      <c r="D65" s="1">
        <v>45356</v>
      </c>
      <c r="E65">
        <v>22.36</v>
      </c>
      <c r="F65">
        <v>776.9</v>
      </c>
    </row>
    <row r="66" spans="1:6">
      <c r="A66">
        <v>52</v>
      </c>
      <c r="B66" t="s">
        <v>469</v>
      </c>
      <c r="C66">
        <v>9</v>
      </c>
      <c r="D66" s="1">
        <v>45356</v>
      </c>
      <c r="E66">
        <v>7.95</v>
      </c>
      <c r="F66">
        <v>547.4</v>
      </c>
    </row>
    <row r="67" spans="1:6">
      <c r="A67">
        <v>53</v>
      </c>
      <c r="B67" t="s">
        <v>477</v>
      </c>
      <c r="C67">
        <v>2</v>
      </c>
      <c r="D67" s="1">
        <v>45356</v>
      </c>
      <c r="E67">
        <v>3.38</v>
      </c>
      <c r="F67">
        <v>539.5</v>
      </c>
    </row>
    <row r="68" spans="1:6">
      <c r="A68">
        <v>54</v>
      </c>
      <c r="B68" t="s">
        <v>500</v>
      </c>
      <c r="C68">
        <v>9</v>
      </c>
      <c r="D68" s="1">
        <v>45356</v>
      </c>
      <c r="E68">
        <v>12</v>
      </c>
      <c r="F68">
        <v>147</v>
      </c>
    </row>
    <row r="69" spans="1:6">
      <c r="A69">
        <v>55</v>
      </c>
      <c r="B69" t="s">
        <v>475</v>
      </c>
      <c r="C69">
        <v>7</v>
      </c>
      <c r="D69" s="1">
        <v>45356</v>
      </c>
      <c r="E69">
        <v>35.75</v>
      </c>
      <c r="F69">
        <v>80</v>
      </c>
    </row>
    <row r="70" spans="1:6">
      <c r="A70">
        <v>56</v>
      </c>
      <c r="B70" t="s">
        <v>476</v>
      </c>
      <c r="C70">
        <v>9</v>
      </c>
      <c r="D70" s="1">
        <v>45356</v>
      </c>
      <c r="E70">
        <v>24.1</v>
      </c>
      <c r="F70">
        <v>159</v>
      </c>
    </row>
    <row r="71" spans="1:6">
      <c r="A71">
        <v>57</v>
      </c>
      <c r="B71" t="s">
        <v>333</v>
      </c>
      <c r="C71">
        <v>1</v>
      </c>
      <c r="D71" s="1">
        <v>45357</v>
      </c>
      <c r="E71">
        <v>67.25</v>
      </c>
      <c r="F71">
        <v>80</v>
      </c>
    </row>
    <row r="72" spans="1:6">
      <c r="A72">
        <v>58</v>
      </c>
      <c r="B72" t="s">
        <v>500</v>
      </c>
      <c r="C72">
        <v>1</v>
      </c>
      <c r="D72" s="1">
        <v>45357</v>
      </c>
      <c r="E72">
        <v>12</v>
      </c>
      <c r="F72">
        <v>159</v>
      </c>
    </row>
    <row r="73" spans="1:6">
      <c r="A73">
        <v>59</v>
      </c>
      <c r="B73" t="s">
        <v>477</v>
      </c>
      <c r="C73">
        <v>1</v>
      </c>
      <c r="D73" s="1">
        <v>45359</v>
      </c>
      <c r="E73">
        <v>3.38</v>
      </c>
      <c r="F73">
        <v>241</v>
      </c>
    </row>
    <row r="74" spans="1:6">
      <c r="A74">
        <v>61</v>
      </c>
      <c r="B74" t="s">
        <v>455</v>
      </c>
      <c r="C74">
        <v>1</v>
      </c>
      <c r="D74" s="1">
        <v>45359</v>
      </c>
      <c r="E74">
        <v>80</v>
      </c>
      <c r="F74">
        <v>30.5</v>
      </c>
    </row>
    <row r="75" spans="1:6">
      <c r="A75">
        <v>63</v>
      </c>
      <c r="B75" t="s">
        <v>475</v>
      </c>
      <c r="C75">
        <v>1</v>
      </c>
      <c r="D75" s="1">
        <v>45362</v>
      </c>
      <c r="E75">
        <v>35.75</v>
      </c>
      <c r="F75">
        <v>31</v>
      </c>
    </row>
    <row r="76" spans="1:6">
      <c r="A76">
        <v>64</v>
      </c>
      <c r="B76" t="s">
        <v>468</v>
      </c>
      <c r="C76">
        <v>1</v>
      </c>
      <c r="D76" s="1">
        <v>45363</v>
      </c>
      <c r="E76">
        <v>7.95</v>
      </c>
      <c r="F76">
        <v>31</v>
      </c>
    </row>
    <row r="77" spans="1:6">
      <c r="A77">
        <v>65</v>
      </c>
      <c r="B77" t="s">
        <v>475</v>
      </c>
      <c r="C77">
        <v>1</v>
      </c>
      <c r="D77" s="1">
        <v>45364</v>
      </c>
      <c r="E77">
        <v>35.75</v>
      </c>
      <c r="F77">
        <v>67.08</v>
      </c>
    </row>
    <row r="78" spans="1:6">
      <c r="A78">
        <v>66</v>
      </c>
      <c r="B78" t="s">
        <v>476</v>
      </c>
      <c r="C78">
        <v>2</v>
      </c>
      <c r="D78" s="1">
        <v>45364</v>
      </c>
      <c r="E78">
        <v>24.1</v>
      </c>
      <c r="F78">
        <v>321</v>
      </c>
    </row>
    <row r="79" spans="1:6">
      <c r="A79">
        <v>67</v>
      </c>
      <c r="B79" t="s">
        <v>468</v>
      </c>
      <c r="C79">
        <v>1</v>
      </c>
      <c r="D79" s="1">
        <v>45365</v>
      </c>
      <c r="E79">
        <v>7.95</v>
      </c>
      <c r="F79">
        <v>393</v>
      </c>
    </row>
    <row r="80" spans="1:6">
      <c r="A80">
        <v>68</v>
      </c>
      <c r="B80" t="s">
        <v>777</v>
      </c>
      <c r="C80">
        <v>1</v>
      </c>
      <c r="D80" s="1">
        <v>45365</v>
      </c>
      <c r="E80">
        <v>33.61</v>
      </c>
      <c r="F80">
        <v>238</v>
      </c>
    </row>
    <row r="81" spans="1:6">
      <c r="A81">
        <v>69</v>
      </c>
      <c r="B81" t="s">
        <v>474</v>
      </c>
      <c r="C81">
        <v>1</v>
      </c>
      <c r="D81" s="1">
        <v>45365</v>
      </c>
      <c r="E81">
        <v>28.95</v>
      </c>
      <c r="F81">
        <v>316.44</v>
      </c>
    </row>
    <row r="82" spans="1:6">
      <c r="A82">
        <v>70</v>
      </c>
      <c r="B82" t="s">
        <v>476</v>
      </c>
      <c r="C82">
        <v>1</v>
      </c>
      <c r="D82" s="1">
        <v>45369</v>
      </c>
      <c r="E82">
        <v>24.1</v>
      </c>
      <c r="F82">
        <v>268.95999999999998</v>
      </c>
    </row>
    <row r="83" spans="1:6">
      <c r="A83">
        <v>134</v>
      </c>
      <c r="B83" t="s">
        <v>795</v>
      </c>
      <c r="C83">
        <v>1</v>
      </c>
      <c r="D83" s="1">
        <v>45369</v>
      </c>
      <c r="E83">
        <v>776.9</v>
      </c>
      <c r="F83">
        <v>0</v>
      </c>
    </row>
    <row r="84" spans="1:6">
      <c r="A84">
        <v>135</v>
      </c>
      <c r="B84" t="s">
        <v>423</v>
      </c>
      <c r="C84">
        <v>1</v>
      </c>
      <c r="D84" s="1">
        <v>45369</v>
      </c>
      <c r="E84">
        <v>560.78</v>
      </c>
      <c r="F84">
        <v>0</v>
      </c>
    </row>
    <row r="85" spans="1:6">
      <c r="A85">
        <v>71</v>
      </c>
      <c r="B85" t="s">
        <v>476</v>
      </c>
      <c r="C85">
        <v>1</v>
      </c>
      <c r="D85" s="1">
        <v>45371</v>
      </c>
      <c r="E85">
        <v>24.1</v>
      </c>
      <c r="F85">
        <v>153.16</v>
      </c>
    </row>
    <row r="86" spans="1:6">
      <c r="A86">
        <v>72</v>
      </c>
      <c r="B86" t="s">
        <v>475</v>
      </c>
      <c r="C86">
        <v>1</v>
      </c>
      <c r="D86" s="1">
        <v>45371</v>
      </c>
      <c r="E86">
        <v>35.75</v>
      </c>
      <c r="F86">
        <v>111.4</v>
      </c>
    </row>
    <row r="87" spans="1:6">
      <c r="A87">
        <v>73</v>
      </c>
      <c r="B87" t="s">
        <v>471</v>
      </c>
      <c r="C87">
        <v>1</v>
      </c>
      <c r="D87" s="1">
        <v>45371</v>
      </c>
      <c r="E87">
        <v>316.44</v>
      </c>
      <c r="F87">
        <v>102.24</v>
      </c>
    </row>
    <row r="88" spans="1:6">
      <c r="A88">
        <v>136</v>
      </c>
      <c r="B88" t="s">
        <v>327</v>
      </c>
      <c r="C88">
        <v>1</v>
      </c>
      <c r="D88" s="1">
        <v>45371</v>
      </c>
      <c r="E88">
        <v>547.4</v>
      </c>
      <c r="F88">
        <v>0</v>
      </c>
    </row>
    <row r="89" spans="1:6">
      <c r="A89">
        <v>74</v>
      </c>
      <c r="B89" t="s">
        <v>468</v>
      </c>
      <c r="C89">
        <v>1</v>
      </c>
      <c r="D89" s="1">
        <v>45376</v>
      </c>
      <c r="E89">
        <v>7.95</v>
      </c>
      <c r="F89">
        <v>776.9</v>
      </c>
    </row>
    <row r="90" spans="1:6">
      <c r="A90">
        <v>75</v>
      </c>
      <c r="B90" t="s">
        <v>824</v>
      </c>
      <c r="C90">
        <v>3</v>
      </c>
      <c r="D90" s="1">
        <v>45376</v>
      </c>
      <c r="E90">
        <v>35.75</v>
      </c>
      <c r="F90">
        <v>336.25</v>
      </c>
    </row>
    <row r="91" spans="1:6">
      <c r="A91">
        <v>436</v>
      </c>
      <c r="B91" t="s">
        <v>473</v>
      </c>
      <c r="C91">
        <v>1</v>
      </c>
      <c r="D91" s="1">
        <v>45376</v>
      </c>
      <c r="E91">
        <v>102.24</v>
      </c>
      <c r="F91">
        <v>0</v>
      </c>
    </row>
    <row r="92" spans="1:6">
      <c r="A92">
        <v>76</v>
      </c>
      <c r="B92" t="s">
        <v>468</v>
      </c>
      <c r="C92">
        <v>1</v>
      </c>
      <c r="D92" s="1">
        <v>45377</v>
      </c>
      <c r="E92">
        <v>7.95</v>
      </c>
      <c r="F92">
        <v>323.70000000000005</v>
      </c>
    </row>
    <row r="93" spans="1:6">
      <c r="A93">
        <v>77</v>
      </c>
      <c r="B93" t="s">
        <v>824</v>
      </c>
      <c r="C93">
        <v>1</v>
      </c>
      <c r="D93" s="1">
        <v>45378</v>
      </c>
      <c r="E93">
        <v>35.75</v>
      </c>
      <c r="F93">
        <v>31</v>
      </c>
    </row>
    <row r="94" spans="1:6">
      <c r="A94">
        <v>78</v>
      </c>
      <c r="B94" t="s">
        <v>824</v>
      </c>
      <c r="C94">
        <v>1</v>
      </c>
      <c r="D94" s="1">
        <v>45383</v>
      </c>
      <c r="E94">
        <v>35.75</v>
      </c>
      <c r="F94">
        <v>241</v>
      </c>
    </row>
    <row r="95" spans="1:6">
      <c r="A95">
        <v>79</v>
      </c>
      <c r="B95" t="s">
        <v>800</v>
      </c>
      <c r="C95">
        <v>1</v>
      </c>
      <c r="D95" s="1">
        <v>45383</v>
      </c>
      <c r="E95">
        <v>24.1</v>
      </c>
      <c r="F95">
        <v>357.5</v>
      </c>
    </row>
    <row r="96" spans="1:6">
      <c r="A96">
        <v>80</v>
      </c>
      <c r="B96" t="s">
        <v>468</v>
      </c>
      <c r="C96">
        <v>1</v>
      </c>
      <c r="D96" s="1">
        <v>45383</v>
      </c>
      <c r="E96">
        <v>7.95</v>
      </c>
      <c r="F96">
        <v>24.75</v>
      </c>
    </row>
    <row r="97" spans="1:6">
      <c r="A97">
        <v>81</v>
      </c>
      <c r="B97" t="s">
        <v>803</v>
      </c>
      <c r="C97">
        <v>1</v>
      </c>
      <c r="D97" s="1">
        <v>45384</v>
      </c>
      <c r="E97">
        <v>53.95</v>
      </c>
      <c r="F97">
        <v>73.5</v>
      </c>
    </row>
    <row r="98" spans="1:6">
      <c r="A98">
        <v>82</v>
      </c>
      <c r="B98" t="s">
        <v>800</v>
      </c>
      <c r="C98">
        <v>2</v>
      </c>
      <c r="D98" s="1">
        <v>45385</v>
      </c>
      <c r="E98">
        <v>24.1</v>
      </c>
      <c r="F98">
        <v>316.44</v>
      </c>
    </row>
    <row r="99" spans="1:6">
      <c r="A99">
        <v>83</v>
      </c>
      <c r="B99" t="s">
        <v>803</v>
      </c>
      <c r="C99">
        <v>5</v>
      </c>
      <c r="D99" s="1">
        <v>45386</v>
      </c>
      <c r="E99">
        <v>53.95</v>
      </c>
      <c r="F99">
        <v>69.38</v>
      </c>
    </row>
    <row r="100" spans="1:6">
      <c r="A100">
        <v>84</v>
      </c>
      <c r="B100" t="s">
        <v>468</v>
      </c>
      <c r="C100">
        <v>2</v>
      </c>
      <c r="D100" s="1">
        <v>45386</v>
      </c>
      <c r="E100">
        <v>7.95</v>
      </c>
      <c r="F100">
        <v>776.9</v>
      </c>
    </row>
    <row r="101" spans="1:6">
      <c r="A101">
        <v>85</v>
      </c>
      <c r="B101" t="s">
        <v>469</v>
      </c>
      <c r="C101">
        <v>5</v>
      </c>
      <c r="D101" s="1">
        <v>45386</v>
      </c>
      <c r="E101">
        <v>7.95</v>
      </c>
      <c r="F101">
        <v>547.4</v>
      </c>
    </row>
    <row r="102" spans="1:6">
      <c r="A102">
        <v>86</v>
      </c>
      <c r="B102" t="s">
        <v>803</v>
      </c>
      <c r="C102">
        <v>1</v>
      </c>
      <c r="D102" s="1">
        <v>45386</v>
      </c>
      <c r="E102">
        <v>53.95</v>
      </c>
      <c r="F102">
        <v>96</v>
      </c>
    </row>
    <row r="103" spans="1:6">
      <c r="A103">
        <v>87</v>
      </c>
      <c r="B103" t="s">
        <v>824</v>
      </c>
      <c r="C103">
        <v>1</v>
      </c>
      <c r="D103" s="1">
        <v>45386</v>
      </c>
      <c r="E103">
        <v>35.75</v>
      </c>
      <c r="F103">
        <v>79.5</v>
      </c>
    </row>
    <row r="104" spans="1:6">
      <c r="A104">
        <v>88</v>
      </c>
      <c r="B104" t="s">
        <v>477</v>
      </c>
      <c r="C104">
        <v>1</v>
      </c>
      <c r="D104" s="1">
        <v>45390</v>
      </c>
      <c r="E104">
        <v>3.38</v>
      </c>
      <c r="F104">
        <v>336.25</v>
      </c>
    </row>
    <row r="105" spans="1:6">
      <c r="A105">
        <v>89</v>
      </c>
      <c r="B105" t="s">
        <v>803</v>
      </c>
      <c r="C105">
        <v>1</v>
      </c>
      <c r="D105" s="1">
        <v>45390</v>
      </c>
      <c r="E105">
        <v>53.95</v>
      </c>
      <c r="F105">
        <v>269.75</v>
      </c>
    </row>
    <row r="106" spans="1:6">
      <c r="A106">
        <v>247</v>
      </c>
      <c r="B106" t="s">
        <v>472</v>
      </c>
      <c r="C106">
        <v>1</v>
      </c>
      <c r="D106" s="1">
        <v>45390</v>
      </c>
      <c r="E106">
        <v>180</v>
      </c>
      <c r="F106">
        <v>0</v>
      </c>
    </row>
    <row r="107" spans="1:6">
      <c r="A107">
        <v>90</v>
      </c>
      <c r="B107" t="s">
        <v>824</v>
      </c>
      <c r="C107">
        <v>1</v>
      </c>
      <c r="D107" s="1">
        <v>45391</v>
      </c>
      <c r="E107">
        <v>35.75</v>
      </c>
      <c r="F107">
        <v>560.78</v>
      </c>
    </row>
    <row r="108" spans="1:6">
      <c r="A108">
        <v>91</v>
      </c>
      <c r="B108" t="s">
        <v>803</v>
      </c>
      <c r="C108">
        <v>1</v>
      </c>
      <c r="D108" s="1">
        <v>45392</v>
      </c>
      <c r="E108">
        <v>53.95</v>
      </c>
      <c r="F108">
        <v>80</v>
      </c>
    </row>
    <row r="109" spans="1:6">
      <c r="A109">
        <v>92</v>
      </c>
      <c r="B109" t="s">
        <v>824</v>
      </c>
      <c r="C109">
        <v>1</v>
      </c>
      <c r="D109" s="1">
        <v>45392</v>
      </c>
      <c r="E109">
        <v>35.75</v>
      </c>
      <c r="F109">
        <v>80</v>
      </c>
    </row>
    <row r="110" spans="1:6">
      <c r="A110">
        <v>93</v>
      </c>
      <c r="B110" t="s">
        <v>468</v>
      </c>
      <c r="C110">
        <v>2</v>
      </c>
      <c r="D110" s="1">
        <v>45393</v>
      </c>
      <c r="E110">
        <v>7.95</v>
      </c>
      <c r="F110">
        <v>321.75</v>
      </c>
    </row>
    <row r="111" spans="1:6">
      <c r="A111">
        <v>94</v>
      </c>
      <c r="B111" t="s">
        <v>843</v>
      </c>
      <c r="C111">
        <v>1</v>
      </c>
      <c r="D111" s="1">
        <v>45393</v>
      </c>
      <c r="E111">
        <v>6.49</v>
      </c>
      <c r="F111">
        <v>241</v>
      </c>
    </row>
    <row r="112" spans="1:6">
      <c r="A112">
        <v>95</v>
      </c>
      <c r="B112" t="s">
        <v>803</v>
      </c>
      <c r="C112">
        <v>1</v>
      </c>
      <c r="D112" s="1">
        <v>45394</v>
      </c>
      <c r="E112">
        <v>53.95</v>
      </c>
      <c r="F112">
        <v>57</v>
      </c>
    </row>
    <row r="113" spans="1:6">
      <c r="A113">
        <v>96</v>
      </c>
      <c r="B113" t="s">
        <v>803</v>
      </c>
      <c r="C113">
        <v>1</v>
      </c>
      <c r="D113" s="1">
        <v>45397</v>
      </c>
      <c r="E113">
        <v>53.95</v>
      </c>
      <c r="F113">
        <v>421.73999999999995</v>
      </c>
    </row>
    <row r="114" spans="1:6">
      <c r="A114">
        <v>97</v>
      </c>
      <c r="B114" t="s">
        <v>468</v>
      </c>
      <c r="C114">
        <v>2</v>
      </c>
      <c r="D114" s="1">
        <v>45397</v>
      </c>
      <c r="E114">
        <v>7.95</v>
      </c>
      <c r="F114">
        <v>782</v>
      </c>
    </row>
    <row r="115" spans="1:6">
      <c r="A115">
        <v>119</v>
      </c>
      <c r="B115" t="s">
        <v>825</v>
      </c>
      <c r="C115">
        <v>1</v>
      </c>
      <c r="D115" s="1">
        <v>45397</v>
      </c>
      <c r="E115">
        <v>122.3</v>
      </c>
      <c r="F115">
        <v>0</v>
      </c>
    </row>
    <row r="116" spans="1:6">
      <c r="A116">
        <v>98</v>
      </c>
      <c r="B116" t="s">
        <v>803</v>
      </c>
      <c r="C116">
        <v>1</v>
      </c>
      <c r="D116" s="1">
        <v>45399</v>
      </c>
      <c r="E116">
        <v>53.95</v>
      </c>
      <c r="F116">
        <v>33.799999999999997</v>
      </c>
    </row>
    <row r="117" spans="1:6">
      <c r="A117">
        <v>99</v>
      </c>
      <c r="B117" t="s">
        <v>824</v>
      </c>
      <c r="C117">
        <v>1</v>
      </c>
      <c r="D117" s="1">
        <v>45400</v>
      </c>
      <c r="E117">
        <v>35.75</v>
      </c>
      <c r="F117">
        <v>19.47</v>
      </c>
    </row>
    <row r="118" spans="1:6">
      <c r="A118">
        <v>100</v>
      </c>
      <c r="B118" t="s">
        <v>824</v>
      </c>
      <c r="C118">
        <v>4</v>
      </c>
      <c r="D118" s="1">
        <v>45400</v>
      </c>
      <c r="E118">
        <v>35.75</v>
      </c>
      <c r="F118">
        <v>357.5</v>
      </c>
    </row>
    <row r="119" spans="1:6">
      <c r="A119">
        <v>101</v>
      </c>
      <c r="B119" t="s">
        <v>800</v>
      </c>
      <c r="C119">
        <v>1</v>
      </c>
      <c r="D119" s="1">
        <v>45400</v>
      </c>
      <c r="E119">
        <v>24.1</v>
      </c>
      <c r="F119">
        <v>241</v>
      </c>
    </row>
    <row r="120" spans="1:6">
      <c r="A120">
        <v>102</v>
      </c>
      <c r="B120" t="s">
        <v>455</v>
      </c>
      <c r="C120">
        <v>1</v>
      </c>
      <c r="D120" s="1">
        <v>45401</v>
      </c>
      <c r="E120">
        <v>80</v>
      </c>
      <c r="F120">
        <v>316.44</v>
      </c>
    </row>
    <row r="121" spans="1:6">
      <c r="A121">
        <v>103</v>
      </c>
      <c r="B121" t="s">
        <v>824</v>
      </c>
      <c r="C121">
        <v>1</v>
      </c>
      <c r="D121" s="1">
        <v>45401</v>
      </c>
      <c r="E121">
        <v>35.75</v>
      </c>
      <c r="F121">
        <v>560.78</v>
      </c>
    </row>
    <row r="122" spans="1:6">
      <c r="A122">
        <v>104</v>
      </c>
      <c r="B122" t="s">
        <v>800</v>
      </c>
      <c r="C122">
        <v>1</v>
      </c>
      <c r="D122" s="1">
        <v>45401</v>
      </c>
      <c r="E122">
        <v>24.1</v>
      </c>
      <c r="F122">
        <v>547.4</v>
      </c>
    </row>
    <row r="123" spans="1:6">
      <c r="A123">
        <v>105</v>
      </c>
      <c r="B123" t="s">
        <v>468</v>
      </c>
      <c r="C123">
        <v>1</v>
      </c>
      <c r="D123" s="1">
        <v>45404</v>
      </c>
      <c r="E123">
        <v>7.95</v>
      </c>
      <c r="F123">
        <v>304.5</v>
      </c>
    </row>
    <row r="124" spans="1:6">
      <c r="A124">
        <v>106</v>
      </c>
      <c r="B124" t="s">
        <v>759</v>
      </c>
      <c r="C124">
        <v>2</v>
      </c>
      <c r="D124" s="1">
        <v>45404</v>
      </c>
      <c r="E124">
        <v>76.58</v>
      </c>
      <c r="F124">
        <v>269.75</v>
      </c>
    </row>
    <row r="125" spans="1:6">
      <c r="A125">
        <v>107</v>
      </c>
      <c r="B125" t="s">
        <v>471</v>
      </c>
      <c r="C125">
        <v>1</v>
      </c>
      <c r="D125" s="1">
        <v>45404</v>
      </c>
      <c r="E125">
        <v>316.44</v>
      </c>
      <c r="F125">
        <v>31</v>
      </c>
    </row>
    <row r="126" spans="1:6">
      <c r="A126">
        <v>133</v>
      </c>
      <c r="B126" t="s">
        <v>490</v>
      </c>
      <c r="C126">
        <v>1</v>
      </c>
      <c r="D126" s="1">
        <v>45404</v>
      </c>
      <c r="E126">
        <v>70.289999999999992</v>
      </c>
      <c r="F126">
        <v>0</v>
      </c>
    </row>
    <row r="127" spans="1:6">
      <c r="A127">
        <v>162</v>
      </c>
      <c r="B127" t="s">
        <v>471</v>
      </c>
      <c r="C127">
        <v>1</v>
      </c>
      <c r="D127" s="1">
        <v>45404</v>
      </c>
      <c r="E127">
        <v>316.44</v>
      </c>
      <c r="F127">
        <v>0</v>
      </c>
    </row>
    <row r="128" spans="1:6">
      <c r="A128">
        <v>108</v>
      </c>
      <c r="B128" t="s">
        <v>803</v>
      </c>
      <c r="C128">
        <v>1</v>
      </c>
      <c r="D128" s="1">
        <v>45405</v>
      </c>
      <c r="E128">
        <v>53.95</v>
      </c>
      <c r="F128">
        <v>62</v>
      </c>
    </row>
    <row r="129" spans="1:6">
      <c r="A129">
        <v>109</v>
      </c>
      <c r="B129" t="s">
        <v>466</v>
      </c>
      <c r="C129">
        <v>1</v>
      </c>
      <c r="D129" s="1">
        <v>45405</v>
      </c>
      <c r="E129">
        <v>390</v>
      </c>
      <c r="F129">
        <v>390</v>
      </c>
    </row>
    <row r="130" spans="1:6">
      <c r="A130">
        <v>110</v>
      </c>
      <c r="B130" t="s">
        <v>824</v>
      </c>
      <c r="C130">
        <v>1</v>
      </c>
      <c r="D130" s="1">
        <v>45405</v>
      </c>
      <c r="E130">
        <v>35.75</v>
      </c>
      <c r="F130">
        <v>390</v>
      </c>
    </row>
    <row r="131" spans="1:6">
      <c r="A131">
        <v>319</v>
      </c>
      <c r="B131" t="s">
        <v>466</v>
      </c>
      <c r="C131">
        <v>1</v>
      </c>
      <c r="D131" s="1">
        <v>45405</v>
      </c>
      <c r="E131">
        <v>390</v>
      </c>
      <c r="F131">
        <v>0</v>
      </c>
    </row>
    <row r="132" spans="1:6">
      <c r="A132">
        <v>111</v>
      </c>
      <c r="B132" t="s">
        <v>468</v>
      </c>
      <c r="C132">
        <v>1</v>
      </c>
      <c r="D132" s="1">
        <v>45406</v>
      </c>
      <c r="E132">
        <v>7.95</v>
      </c>
      <c r="F132">
        <v>0</v>
      </c>
    </row>
    <row r="133" spans="1:6">
      <c r="A133">
        <v>112</v>
      </c>
      <c r="B133" t="s">
        <v>824</v>
      </c>
      <c r="C133">
        <v>1</v>
      </c>
      <c r="D133" s="1">
        <v>45406</v>
      </c>
      <c r="E133">
        <v>35.75</v>
      </c>
      <c r="F133">
        <v>0</v>
      </c>
    </row>
    <row r="134" spans="1:6">
      <c r="A134">
        <v>113</v>
      </c>
      <c r="B134" t="s">
        <v>800</v>
      </c>
      <c r="C134">
        <v>1</v>
      </c>
      <c r="D134" s="1">
        <v>45406</v>
      </c>
      <c r="E134">
        <v>24.1</v>
      </c>
      <c r="F134">
        <v>0</v>
      </c>
    </row>
    <row r="135" spans="1:6">
      <c r="A135">
        <v>114</v>
      </c>
      <c r="B135" t="s">
        <v>800</v>
      </c>
      <c r="C135">
        <v>6</v>
      </c>
      <c r="D135" s="1">
        <v>45406</v>
      </c>
      <c r="E135">
        <v>24.1</v>
      </c>
      <c r="F135">
        <v>0</v>
      </c>
    </row>
    <row r="136" spans="1:6">
      <c r="A136">
        <v>122</v>
      </c>
      <c r="B136" t="s">
        <v>424</v>
      </c>
      <c r="C136">
        <v>1</v>
      </c>
      <c r="D136" s="1">
        <v>45406</v>
      </c>
      <c r="E136">
        <v>560.78</v>
      </c>
      <c r="F136">
        <v>0</v>
      </c>
    </row>
    <row r="137" spans="1:6">
      <c r="A137">
        <v>115</v>
      </c>
      <c r="B137" t="s">
        <v>803</v>
      </c>
      <c r="C137">
        <v>1</v>
      </c>
      <c r="D137" s="1">
        <v>45407</v>
      </c>
      <c r="E137">
        <v>53.95</v>
      </c>
      <c r="F137">
        <v>0</v>
      </c>
    </row>
    <row r="138" spans="1:6">
      <c r="A138">
        <v>116</v>
      </c>
      <c r="B138" t="s">
        <v>803</v>
      </c>
      <c r="C138">
        <v>1</v>
      </c>
      <c r="D138" s="1">
        <v>45411</v>
      </c>
      <c r="E138">
        <v>53.95</v>
      </c>
      <c r="F138">
        <v>0</v>
      </c>
    </row>
    <row r="139" spans="1:6">
      <c r="A139">
        <v>120</v>
      </c>
      <c r="B139" t="s">
        <v>327</v>
      </c>
      <c r="C139">
        <v>1</v>
      </c>
      <c r="D139" s="1">
        <v>45411</v>
      </c>
      <c r="E139">
        <v>547.4</v>
      </c>
      <c r="F139">
        <v>0</v>
      </c>
    </row>
    <row r="140" spans="1:6">
      <c r="A140">
        <v>121</v>
      </c>
      <c r="B140" t="s">
        <v>795</v>
      </c>
      <c r="C140">
        <v>1</v>
      </c>
      <c r="D140" s="1">
        <v>45411</v>
      </c>
      <c r="E140">
        <v>776.9</v>
      </c>
      <c r="F140">
        <v>0</v>
      </c>
    </row>
    <row r="141" spans="1:6">
      <c r="A141">
        <v>117</v>
      </c>
      <c r="B141" t="s">
        <v>491</v>
      </c>
      <c r="C141">
        <v>2</v>
      </c>
      <c r="D141" s="1">
        <v>45412</v>
      </c>
      <c r="E141">
        <v>8</v>
      </c>
      <c r="F141">
        <v>0</v>
      </c>
    </row>
    <row r="142" spans="1:6">
      <c r="A142">
        <v>118</v>
      </c>
      <c r="B142" t="s">
        <v>500</v>
      </c>
      <c r="C142">
        <v>1</v>
      </c>
      <c r="D142" s="1">
        <v>45412</v>
      </c>
      <c r="E142">
        <v>12</v>
      </c>
      <c r="F142">
        <v>0</v>
      </c>
    </row>
    <row r="143" spans="1:6">
      <c r="A143">
        <v>123</v>
      </c>
      <c r="B143" t="s">
        <v>449</v>
      </c>
      <c r="C143">
        <v>2</v>
      </c>
      <c r="D143" s="1">
        <v>45413</v>
      </c>
      <c r="E143">
        <v>2.8</v>
      </c>
      <c r="F143">
        <v>0</v>
      </c>
    </row>
    <row r="144" spans="1:6">
      <c r="A144">
        <v>127</v>
      </c>
      <c r="B144" t="s">
        <v>800</v>
      </c>
      <c r="C144">
        <v>1</v>
      </c>
      <c r="D144" s="1">
        <v>45413</v>
      </c>
      <c r="E144">
        <v>24.1</v>
      </c>
      <c r="F144">
        <v>0</v>
      </c>
    </row>
    <row r="145" spans="1:6">
      <c r="A145">
        <v>128</v>
      </c>
      <c r="B145" t="s">
        <v>800</v>
      </c>
      <c r="C145">
        <v>2</v>
      </c>
      <c r="D145" s="1">
        <v>45413</v>
      </c>
      <c r="E145">
        <v>24.1</v>
      </c>
      <c r="F145">
        <v>0</v>
      </c>
    </row>
    <row r="146" spans="1:6">
      <c r="A146">
        <v>129</v>
      </c>
      <c r="B146" t="s">
        <v>803</v>
      </c>
      <c r="C146">
        <v>1</v>
      </c>
      <c r="D146" s="1">
        <v>45413</v>
      </c>
      <c r="E146">
        <v>53.95</v>
      </c>
      <c r="F146">
        <v>0</v>
      </c>
    </row>
    <row r="147" spans="1:6">
      <c r="A147">
        <v>130</v>
      </c>
      <c r="B147" t="s">
        <v>327</v>
      </c>
      <c r="C147">
        <v>1</v>
      </c>
      <c r="D147" s="1">
        <v>45413</v>
      </c>
      <c r="E147">
        <v>547.4</v>
      </c>
      <c r="F147">
        <v>0</v>
      </c>
    </row>
    <row r="148" spans="1:6">
      <c r="A148">
        <v>131</v>
      </c>
      <c r="B148" t="s">
        <v>424</v>
      </c>
      <c r="C148">
        <v>1</v>
      </c>
      <c r="D148" s="1">
        <v>45413</v>
      </c>
      <c r="E148">
        <v>560.78</v>
      </c>
      <c r="F148">
        <v>0</v>
      </c>
    </row>
    <row r="149" spans="1:6">
      <c r="A149">
        <v>132</v>
      </c>
      <c r="B149" t="s">
        <v>424</v>
      </c>
      <c r="C149">
        <v>1</v>
      </c>
      <c r="D149" s="1">
        <v>45413</v>
      </c>
      <c r="E149">
        <v>560.78</v>
      </c>
      <c r="F149">
        <v>0</v>
      </c>
    </row>
    <row r="150" spans="1:6">
      <c r="A150">
        <v>137</v>
      </c>
      <c r="B150" t="s">
        <v>490</v>
      </c>
      <c r="C150">
        <v>1</v>
      </c>
      <c r="D150" s="1">
        <v>45414</v>
      </c>
      <c r="E150">
        <v>70.289999999999992</v>
      </c>
      <c r="F150">
        <v>0</v>
      </c>
    </row>
    <row r="151" spans="1:6">
      <c r="A151">
        <v>138</v>
      </c>
      <c r="B151" t="s">
        <v>457</v>
      </c>
      <c r="C151">
        <v>1</v>
      </c>
      <c r="D151" s="1">
        <v>45415</v>
      </c>
      <c r="E151">
        <v>73.5</v>
      </c>
      <c r="F151">
        <v>0</v>
      </c>
    </row>
    <row r="152" spans="1:6">
      <c r="A152">
        <v>139</v>
      </c>
      <c r="B152" t="s">
        <v>803</v>
      </c>
      <c r="C152">
        <v>1</v>
      </c>
      <c r="D152" s="1">
        <v>45419</v>
      </c>
      <c r="E152">
        <v>53.95</v>
      </c>
      <c r="F152">
        <v>0</v>
      </c>
    </row>
    <row r="153" spans="1:6">
      <c r="A153">
        <v>140</v>
      </c>
      <c r="B153" t="s">
        <v>803</v>
      </c>
      <c r="C153">
        <v>1</v>
      </c>
      <c r="D153" s="1">
        <v>45419</v>
      </c>
      <c r="E153">
        <v>53.95</v>
      </c>
      <c r="F153">
        <v>0</v>
      </c>
    </row>
    <row r="154" spans="1:6">
      <c r="A154">
        <v>142</v>
      </c>
      <c r="B154" t="s">
        <v>490</v>
      </c>
      <c r="C154">
        <v>1</v>
      </c>
      <c r="D154" s="1">
        <v>45419</v>
      </c>
      <c r="E154">
        <v>70.289999999999992</v>
      </c>
      <c r="F154">
        <v>0</v>
      </c>
    </row>
    <row r="155" spans="1:6">
      <c r="A155">
        <v>144</v>
      </c>
      <c r="B155" t="s">
        <v>490</v>
      </c>
      <c r="C155">
        <v>1</v>
      </c>
      <c r="D155" s="1">
        <v>45419</v>
      </c>
      <c r="E155">
        <v>70.289999999999992</v>
      </c>
      <c r="F155">
        <v>0</v>
      </c>
    </row>
    <row r="156" spans="1:6">
      <c r="A156">
        <v>145</v>
      </c>
      <c r="B156" t="s">
        <v>490</v>
      </c>
      <c r="C156">
        <v>1</v>
      </c>
      <c r="D156" s="1">
        <v>45419</v>
      </c>
      <c r="E156">
        <v>70.289999999999992</v>
      </c>
      <c r="F156">
        <v>0</v>
      </c>
    </row>
    <row r="157" spans="1:6">
      <c r="A157">
        <v>146</v>
      </c>
      <c r="B157" t="s">
        <v>490</v>
      </c>
      <c r="C157">
        <v>1</v>
      </c>
      <c r="D157" s="1">
        <v>45419</v>
      </c>
      <c r="E157">
        <v>70.289999999999992</v>
      </c>
      <c r="F157">
        <v>0</v>
      </c>
    </row>
    <row r="158" spans="1:6">
      <c r="A158">
        <v>141</v>
      </c>
      <c r="B158" t="s">
        <v>53</v>
      </c>
      <c r="C158">
        <v>1</v>
      </c>
      <c r="D158" s="1">
        <v>45420</v>
      </c>
      <c r="E158">
        <v>24.75</v>
      </c>
      <c r="F158">
        <v>0</v>
      </c>
    </row>
    <row r="159" spans="1:6">
      <c r="A159">
        <v>143</v>
      </c>
      <c r="B159" t="s">
        <v>490</v>
      </c>
      <c r="C159">
        <v>1</v>
      </c>
      <c r="D159" s="1">
        <v>45420</v>
      </c>
      <c r="E159">
        <v>70.289999999999992</v>
      </c>
      <c r="F159">
        <v>0</v>
      </c>
    </row>
    <row r="160" spans="1:6">
      <c r="A160">
        <v>147</v>
      </c>
      <c r="B160" t="s">
        <v>490</v>
      </c>
      <c r="C160">
        <v>1</v>
      </c>
      <c r="D160" s="1">
        <v>45420</v>
      </c>
      <c r="E160">
        <v>70.289999999999992</v>
      </c>
      <c r="F160">
        <v>0</v>
      </c>
    </row>
    <row r="161" spans="1:6">
      <c r="A161">
        <v>148</v>
      </c>
      <c r="B161" t="s">
        <v>468</v>
      </c>
      <c r="C161">
        <v>1</v>
      </c>
      <c r="D161" s="1">
        <v>45421</v>
      </c>
      <c r="E161">
        <v>7.95</v>
      </c>
      <c r="F161">
        <v>0</v>
      </c>
    </row>
    <row r="162" spans="1:6">
      <c r="A162">
        <v>149</v>
      </c>
      <c r="B162" t="s">
        <v>824</v>
      </c>
      <c r="C162">
        <v>2</v>
      </c>
      <c r="D162" s="1">
        <v>45421</v>
      </c>
      <c r="E162">
        <v>35.75</v>
      </c>
      <c r="F162">
        <v>0</v>
      </c>
    </row>
    <row r="163" spans="1:6">
      <c r="A163">
        <v>150</v>
      </c>
      <c r="B163" t="s">
        <v>800</v>
      </c>
      <c r="C163">
        <v>1</v>
      </c>
      <c r="D163" s="1">
        <v>45421</v>
      </c>
      <c r="E163">
        <v>24.1</v>
      </c>
      <c r="F163">
        <v>0</v>
      </c>
    </row>
    <row r="164" spans="1:6">
      <c r="A164">
        <v>151</v>
      </c>
      <c r="B164" t="s">
        <v>803</v>
      </c>
      <c r="C164">
        <v>1</v>
      </c>
      <c r="D164" s="1">
        <v>45421</v>
      </c>
      <c r="E164">
        <v>53.95</v>
      </c>
      <c r="F164">
        <v>0</v>
      </c>
    </row>
    <row r="165" spans="1:6">
      <c r="A165">
        <v>437</v>
      </c>
      <c r="B165" t="s">
        <v>473</v>
      </c>
      <c r="C165">
        <v>1</v>
      </c>
      <c r="D165" s="1">
        <v>45421</v>
      </c>
      <c r="E165">
        <v>102.24</v>
      </c>
      <c r="F165">
        <v>0</v>
      </c>
    </row>
    <row r="166" spans="1:6">
      <c r="A166">
        <v>152</v>
      </c>
      <c r="B166" t="s">
        <v>803</v>
      </c>
      <c r="C166">
        <v>1</v>
      </c>
      <c r="D166" s="1">
        <v>45425</v>
      </c>
      <c r="E166">
        <v>53.95</v>
      </c>
      <c r="F166">
        <v>0</v>
      </c>
    </row>
    <row r="167" spans="1:6">
      <c r="A167">
        <v>153</v>
      </c>
      <c r="B167" t="s">
        <v>490</v>
      </c>
      <c r="C167">
        <v>1</v>
      </c>
      <c r="D167" s="1">
        <v>45425</v>
      </c>
      <c r="E167">
        <v>70.289999999999992</v>
      </c>
      <c r="F167">
        <v>0</v>
      </c>
    </row>
    <row r="168" spans="1:6">
      <c r="A168">
        <v>154</v>
      </c>
      <c r="B168" t="s">
        <v>803</v>
      </c>
      <c r="C168">
        <v>2</v>
      </c>
      <c r="D168" s="1">
        <v>45425</v>
      </c>
      <c r="E168">
        <v>53.95</v>
      </c>
      <c r="F168">
        <v>0</v>
      </c>
    </row>
    <row r="169" spans="1:6">
      <c r="A169">
        <v>155</v>
      </c>
      <c r="B169" t="s">
        <v>469</v>
      </c>
      <c r="C169">
        <v>4</v>
      </c>
      <c r="D169" s="1">
        <v>45425</v>
      </c>
      <c r="E169">
        <v>7.95</v>
      </c>
      <c r="F169">
        <v>0</v>
      </c>
    </row>
    <row r="170" spans="1:6">
      <c r="A170">
        <v>156</v>
      </c>
      <c r="B170" t="s">
        <v>473</v>
      </c>
      <c r="C170">
        <v>1</v>
      </c>
      <c r="D170" s="1">
        <v>45426</v>
      </c>
      <c r="E170">
        <v>102.24</v>
      </c>
      <c r="F170">
        <v>0</v>
      </c>
    </row>
    <row r="171" spans="1:6">
      <c r="A171">
        <v>157</v>
      </c>
      <c r="B171" t="s">
        <v>824</v>
      </c>
      <c r="C171">
        <v>1</v>
      </c>
      <c r="D171" s="1">
        <v>45426</v>
      </c>
      <c r="E171">
        <v>35.75</v>
      </c>
      <c r="F171">
        <v>0</v>
      </c>
    </row>
    <row r="172" spans="1:6">
      <c r="A172">
        <v>158</v>
      </c>
      <c r="B172" t="s">
        <v>800</v>
      </c>
      <c r="C172">
        <v>1</v>
      </c>
      <c r="D172" s="1">
        <v>45426</v>
      </c>
      <c r="E172">
        <v>24.1</v>
      </c>
      <c r="F172">
        <v>0</v>
      </c>
    </row>
    <row r="173" spans="1:6">
      <c r="A173">
        <v>159</v>
      </c>
      <c r="B173" t="s">
        <v>803</v>
      </c>
      <c r="C173">
        <v>1</v>
      </c>
      <c r="D173" s="1">
        <v>45427</v>
      </c>
      <c r="E173">
        <v>53.95</v>
      </c>
      <c r="F173">
        <v>0</v>
      </c>
    </row>
    <row r="174" spans="1:6">
      <c r="A174">
        <v>160</v>
      </c>
      <c r="B174" t="s">
        <v>824</v>
      </c>
      <c r="C174">
        <v>1</v>
      </c>
      <c r="D174" s="1">
        <v>45428</v>
      </c>
      <c r="E174">
        <v>35.75</v>
      </c>
      <c r="F174">
        <v>0</v>
      </c>
    </row>
    <row r="175" spans="1:6">
      <c r="A175">
        <v>161</v>
      </c>
      <c r="B175" t="s">
        <v>800</v>
      </c>
      <c r="C175">
        <v>1</v>
      </c>
      <c r="D175" s="1">
        <v>45428</v>
      </c>
      <c r="E175">
        <v>24.1</v>
      </c>
      <c r="F175">
        <v>0</v>
      </c>
    </row>
    <row r="176" spans="1:6">
      <c r="A176">
        <v>163</v>
      </c>
      <c r="B176" t="s">
        <v>471</v>
      </c>
      <c r="C176">
        <v>1</v>
      </c>
      <c r="D176" s="1">
        <v>45433</v>
      </c>
      <c r="E176">
        <v>316.44</v>
      </c>
      <c r="F176">
        <v>0</v>
      </c>
    </row>
    <row r="177" spans="1:6">
      <c r="A177">
        <v>164</v>
      </c>
      <c r="B177" t="s">
        <v>315</v>
      </c>
      <c r="C177">
        <v>1</v>
      </c>
      <c r="D177" s="1">
        <v>45433</v>
      </c>
      <c r="E177">
        <v>153</v>
      </c>
      <c r="F177">
        <v>0</v>
      </c>
    </row>
    <row r="178" spans="1:6">
      <c r="A178">
        <v>165</v>
      </c>
      <c r="B178" t="s">
        <v>803</v>
      </c>
      <c r="C178">
        <v>1</v>
      </c>
      <c r="D178" s="1">
        <v>45433</v>
      </c>
      <c r="E178">
        <v>53.95</v>
      </c>
      <c r="F178">
        <v>0</v>
      </c>
    </row>
    <row r="179" spans="1:6">
      <c r="A179">
        <v>166</v>
      </c>
      <c r="B179" t="s">
        <v>800</v>
      </c>
      <c r="C179">
        <v>1</v>
      </c>
      <c r="D179" s="1">
        <v>45433</v>
      </c>
      <c r="E179">
        <v>24.1</v>
      </c>
      <c r="F179">
        <v>0</v>
      </c>
    </row>
    <row r="180" spans="1:6">
      <c r="A180">
        <v>167</v>
      </c>
      <c r="B180" t="s">
        <v>489</v>
      </c>
      <c r="C180">
        <v>1</v>
      </c>
      <c r="D180" s="1">
        <v>45433</v>
      </c>
      <c r="E180">
        <v>697.62</v>
      </c>
      <c r="F180">
        <v>0</v>
      </c>
    </row>
    <row r="181" spans="1:6">
      <c r="A181">
        <v>168</v>
      </c>
      <c r="B181" t="s">
        <v>824</v>
      </c>
      <c r="C181">
        <v>1</v>
      </c>
      <c r="D181" s="1">
        <v>45434</v>
      </c>
      <c r="E181">
        <v>35.75</v>
      </c>
      <c r="F181">
        <v>0</v>
      </c>
    </row>
    <row r="182" spans="1:6">
      <c r="A182">
        <v>169</v>
      </c>
      <c r="B182" t="s">
        <v>800</v>
      </c>
      <c r="C182">
        <v>1</v>
      </c>
      <c r="D182" s="1">
        <v>45434</v>
      </c>
      <c r="E182">
        <v>24.1</v>
      </c>
      <c r="F182">
        <v>0</v>
      </c>
    </row>
    <row r="183" spans="1:6">
      <c r="A183">
        <v>170</v>
      </c>
      <c r="B183" t="s">
        <v>803</v>
      </c>
      <c r="C183">
        <v>1</v>
      </c>
      <c r="D183" s="1">
        <v>45434</v>
      </c>
      <c r="E183">
        <v>53.95</v>
      </c>
      <c r="F183">
        <v>0</v>
      </c>
    </row>
    <row r="184" spans="1:6">
      <c r="A184">
        <v>171</v>
      </c>
      <c r="B184" t="s">
        <v>824</v>
      </c>
      <c r="C184">
        <v>1</v>
      </c>
      <c r="D184" s="1">
        <v>45435</v>
      </c>
      <c r="E184">
        <v>35.75</v>
      </c>
      <c r="F184">
        <v>0</v>
      </c>
    </row>
    <row r="185" spans="1:6">
      <c r="A185">
        <v>172</v>
      </c>
      <c r="B185" t="s">
        <v>800</v>
      </c>
      <c r="C185">
        <v>1</v>
      </c>
      <c r="D185" s="1">
        <v>45435</v>
      </c>
      <c r="E185">
        <v>24.1</v>
      </c>
      <c r="F185">
        <v>0</v>
      </c>
    </row>
    <row r="186" spans="1:6">
      <c r="A186">
        <v>173</v>
      </c>
      <c r="B186" t="s">
        <v>455</v>
      </c>
      <c r="C186">
        <v>1</v>
      </c>
      <c r="D186" s="1">
        <v>45435</v>
      </c>
      <c r="E186">
        <v>80</v>
      </c>
      <c r="F186">
        <v>0</v>
      </c>
    </row>
    <row r="187" spans="1:6">
      <c r="A187">
        <v>472</v>
      </c>
      <c r="B187" t="s">
        <v>759</v>
      </c>
      <c r="C187">
        <v>1</v>
      </c>
      <c r="D187" s="1">
        <v>45435</v>
      </c>
      <c r="E187">
        <v>76.58</v>
      </c>
      <c r="F187">
        <v>0</v>
      </c>
    </row>
    <row r="188" spans="1:6">
      <c r="A188">
        <v>174</v>
      </c>
      <c r="B188" t="s">
        <v>824</v>
      </c>
      <c r="C188">
        <v>1</v>
      </c>
      <c r="D188" s="1">
        <v>45436</v>
      </c>
      <c r="E188">
        <v>35.75</v>
      </c>
      <c r="F188">
        <v>0</v>
      </c>
    </row>
    <row r="189" spans="1:6">
      <c r="A189">
        <v>175</v>
      </c>
      <c r="B189" t="s">
        <v>839</v>
      </c>
      <c r="C189">
        <v>1</v>
      </c>
      <c r="D189" s="1">
        <v>45436</v>
      </c>
      <c r="E189">
        <v>28.5</v>
      </c>
      <c r="F189">
        <v>0</v>
      </c>
    </row>
    <row r="190" spans="1:6">
      <c r="A190">
        <v>176</v>
      </c>
      <c r="B190" t="s">
        <v>800</v>
      </c>
      <c r="C190">
        <v>1</v>
      </c>
      <c r="D190" s="1">
        <v>45439</v>
      </c>
      <c r="E190">
        <v>24.1</v>
      </c>
      <c r="F190">
        <v>0</v>
      </c>
    </row>
    <row r="191" spans="1:6">
      <c r="A191">
        <v>177</v>
      </c>
      <c r="B191" t="s">
        <v>824</v>
      </c>
      <c r="C191">
        <v>1</v>
      </c>
      <c r="D191" s="1">
        <v>45439</v>
      </c>
      <c r="E191">
        <v>35.75</v>
      </c>
      <c r="F191">
        <v>0</v>
      </c>
    </row>
    <row r="192" spans="1:6">
      <c r="A192">
        <v>178</v>
      </c>
      <c r="B192" t="s">
        <v>824</v>
      </c>
      <c r="C192">
        <v>7</v>
      </c>
      <c r="D192" s="1">
        <v>45439</v>
      </c>
      <c r="E192">
        <v>35.75</v>
      </c>
      <c r="F192">
        <v>0</v>
      </c>
    </row>
    <row r="193" spans="1:6">
      <c r="A193">
        <v>179</v>
      </c>
      <c r="B193" t="s">
        <v>800</v>
      </c>
      <c r="C193">
        <v>2</v>
      </c>
      <c r="D193" s="1">
        <v>45439</v>
      </c>
      <c r="E193">
        <v>24.1</v>
      </c>
      <c r="F193">
        <v>0</v>
      </c>
    </row>
    <row r="194" spans="1:6">
      <c r="A194">
        <v>180</v>
      </c>
      <c r="B194" t="s">
        <v>314</v>
      </c>
      <c r="C194">
        <v>1</v>
      </c>
      <c r="D194" s="1">
        <v>45439</v>
      </c>
      <c r="E194">
        <v>268.95999999999998</v>
      </c>
      <c r="F194">
        <v>0</v>
      </c>
    </row>
    <row r="195" spans="1:6">
      <c r="A195">
        <v>181</v>
      </c>
      <c r="B195" t="s">
        <v>803</v>
      </c>
      <c r="C195">
        <v>1</v>
      </c>
      <c r="D195" s="1">
        <v>45439</v>
      </c>
      <c r="E195">
        <v>53.95</v>
      </c>
      <c r="F195">
        <v>0</v>
      </c>
    </row>
    <row r="196" spans="1:6">
      <c r="A196">
        <v>182</v>
      </c>
      <c r="B196" t="s">
        <v>795</v>
      </c>
      <c r="C196">
        <v>1</v>
      </c>
      <c r="D196" s="1">
        <v>45442</v>
      </c>
      <c r="E196">
        <v>776.9</v>
      </c>
      <c r="F196">
        <v>0</v>
      </c>
    </row>
    <row r="197" spans="1:6">
      <c r="A197">
        <v>183</v>
      </c>
      <c r="B197" t="s">
        <v>800</v>
      </c>
      <c r="C197">
        <v>2</v>
      </c>
      <c r="D197" s="1">
        <v>45442</v>
      </c>
      <c r="E197">
        <v>24.1</v>
      </c>
      <c r="F197">
        <v>0</v>
      </c>
    </row>
    <row r="198" spans="1:6">
      <c r="A198">
        <v>184</v>
      </c>
      <c r="B198" t="s">
        <v>803</v>
      </c>
      <c r="C198">
        <v>1</v>
      </c>
      <c r="D198" s="1">
        <v>45442</v>
      </c>
      <c r="E198">
        <v>53.95</v>
      </c>
      <c r="F198">
        <v>0</v>
      </c>
    </row>
    <row r="199" spans="1:6">
      <c r="A199">
        <v>185</v>
      </c>
      <c r="B199" t="s">
        <v>803</v>
      </c>
      <c r="C199">
        <v>1</v>
      </c>
      <c r="D199" s="1">
        <v>45442</v>
      </c>
      <c r="E199">
        <v>53.95</v>
      </c>
      <c r="F199">
        <v>0</v>
      </c>
    </row>
    <row r="200" spans="1:6">
      <c r="A200">
        <v>186</v>
      </c>
      <c r="B200" t="s">
        <v>866</v>
      </c>
      <c r="C200">
        <v>1</v>
      </c>
      <c r="D200" s="1">
        <v>45442</v>
      </c>
      <c r="E200">
        <v>497.92</v>
      </c>
      <c r="F200">
        <v>0</v>
      </c>
    </row>
    <row r="201" spans="1:6">
      <c r="A201">
        <v>187</v>
      </c>
      <c r="B201" t="s">
        <v>866</v>
      </c>
      <c r="C201">
        <v>1</v>
      </c>
      <c r="D201" s="1">
        <v>45442</v>
      </c>
      <c r="E201">
        <v>497.92</v>
      </c>
      <c r="F201">
        <v>0</v>
      </c>
    </row>
    <row r="202" spans="1:6">
      <c r="A202">
        <v>188</v>
      </c>
      <c r="B202" t="s">
        <v>866</v>
      </c>
      <c r="C202">
        <v>1</v>
      </c>
      <c r="D202" s="1">
        <v>45442</v>
      </c>
      <c r="E202">
        <v>497.92</v>
      </c>
      <c r="F202">
        <v>0</v>
      </c>
    </row>
    <row r="203" spans="1:6">
      <c r="A203">
        <v>189</v>
      </c>
      <c r="B203" s="2" t="s">
        <v>879</v>
      </c>
      <c r="C203">
        <v>3</v>
      </c>
      <c r="D203" s="1">
        <v>45446</v>
      </c>
      <c r="E203">
        <v>22.36</v>
      </c>
      <c r="F203">
        <v>0</v>
      </c>
    </row>
    <row r="204" spans="1:6">
      <c r="A204">
        <v>190</v>
      </c>
      <c r="B204" t="s">
        <v>477</v>
      </c>
      <c r="C204">
        <v>7</v>
      </c>
      <c r="D204" s="1">
        <v>45446</v>
      </c>
      <c r="E204">
        <v>3.38</v>
      </c>
      <c r="F204">
        <v>0</v>
      </c>
    </row>
    <row r="205" spans="1:6">
      <c r="A205">
        <v>192</v>
      </c>
      <c r="B205" t="s">
        <v>330</v>
      </c>
      <c r="C205">
        <v>1</v>
      </c>
      <c r="D205" s="1">
        <v>45446</v>
      </c>
      <c r="E205">
        <v>733.5</v>
      </c>
      <c r="F205">
        <v>0</v>
      </c>
    </row>
    <row r="206" spans="1:6">
      <c r="A206">
        <v>193</v>
      </c>
      <c r="B206" t="s">
        <v>838</v>
      </c>
      <c r="C206">
        <v>3</v>
      </c>
      <c r="D206" s="1">
        <v>45446</v>
      </c>
      <c r="E206">
        <v>391</v>
      </c>
      <c r="F206">
        <v>0</v>
      </c>
    </row>
    <row r="207" spans="1:6">
      <c r="A207">
        <v>194</v>
      </c>
      <c r="B207" t="s">
        <v>478</v>
      </c>
      <c r="C207">
        <v>1</v>
      </c>
      <c r="D207" s="1">
        <v>45446</v>
      </c>
      <c r="E207">
        <v>155.69999999999999</v>
      </c>
      <c r="F207">
        <v>0</v>
      </c>
    </row>
    <row r="208" spans="1:6">
      <c r="A208">
        <v>195</v>
      </c>
      <c r="B208" t="s">
        <v>824</v>
      </c>
      <c r="C208">
        <v>4</v>
      </c>
      <c r="D208" s="1">
        <v>45446</v>
      </c>
      <c r="E208">
        <v>35.75</v>
      </c>
      <c r="F208">
        <v>0</v>
      </c>
    </row>
    <row r="209" spans="1:6">
      <c r="A209">
        <v>196</v>
      </c>
      <c r="B209" t="s">
        <v>465</v>
      </c>
      <c r="C209">
        <v>1</v>
      </c>
      <c r="D209" s="1">
        <v>45446</v>
      </c>
      <c r="E209">
        <v>906.63</v>
      </c>
      <c r="F209">
        <v>0</v>
      </c>
    </row>
    <row r="210" spans="1:6">
      <c r="A210">
        <v>197</v>
      </c>
      <c r="B210" t="s">
        <v>800</v>
      </c>
      <c r="C210">
        <v>2</v>
      </c>
      <c r="D210" s="1">
        <v>45446</v>
      </c>
      <c r="E210">
        <v>24.1</v>
      </c>
      <c r="F210">
        <v>0</v>
      </c>
    </row>
    <row r="211" spans="1:6">
      <c r="A211">
        <v>198</v>
      </c>
      <c r="B211" t="s">
        <v>800</v>
      </c>
      <c r="C211">
        <v>4</v>
      </c>
      <c r="D211" s="1">
        <v>45446</v>
      </c>
      <c r="E211">
        <v>24.1</v>
      </c>
      <c r="F211">
        <v>0</v>
      </c>
    </row>
    <row r="212" spans="1:6">
      <c r="A212">
        <v>199</v>
      </c>
      <c r="B212" t="s">
        <v>427</v>
      </c>
      <c r="C212">
        <v>1</v>
      </c>
      <c r="D212" s="1">
        <v>45446</v>
      </c>
      <c r="E212">
        <v>130</v>
      </c>
      <c r="F212">
        <v>0</v>
      </c>
    </row>
    <row r="213" spans="1:6">
      <c r="A213">
        <v>201</v>
      </c>
      <c r="B213" t="s">
        <v>803</v>
      </c>
      <c r="C213">
        <v>1</v>
      </c>
      <c r="D213" s="1">
        <v>45447</v>
      </c>
      <c r="E213">
        <v>53.95</v>
      </c>
      <c r="F213">
        <f t="shared" ref="F213:F218" si="0">E213*C213</f>
        <v>53.95</v>
      </c>
    </row>
    <row r="214" spans="1:6">
      <c r="A214">
        <v>202</v>
      </c>
      <c r="B214" t="s">
        <v>824</v>
      </c>
      <c r="C214">
        <v>2</v>
      </c>
      <c r="D214" s="1">
        <v>45448</v>
      </c>
      <c r="E214">
        <v>35.75</v>
      </c>
      <c r="F214">
        <f t="shared" si="0"/>
        <v>71.5</v>
      </c>
    </row>
    <row r="215" spans="1:6">
      <c r="A215">
        <v>200</v>
      </c>
      <c r="B215" t="s">
        <v>803</v>
      </c>
      <c r="C215">
        <v>1</v>
      </c>
      <c r="D215" s="1">
        <v>45449</v>
      </c>
      <c r="E215">
        <v>53.95</v>
      </c>
      <c r="F215">
        <f t="shared" si="0"/>
        <v>53.95</v>
      </c>
    </row>
    <row r="216" spans="1:6">
      <c r="A216">
        <v>203</v>
      </c>
      <c r="B216" t="s">
        <v>832</v>
      </c>
      <c r="C216">
        <v>1</v>
      </c>
      <c r="D216" s="1">
        <v>45449</v>
      </c>
      <c r="E216">
        <v>952</v>
      </c>
      <c r="F216">
        <f t="shared" si="0"/>
        <v>952</v>
      </c>
    </row>
    <row r="217" spans="1:6">
      <c r="A217">
        <v>204</v>
      </c>
      <c r="B217" t="s">
        <v>829</v>
      </c>
      <c r="C217">
        <v>1</v>
      </c>
      <c r="D217" s="1">
        <v>45449</v>
      </c>
      <c r="E217">
        <v>304.5</v>
      </c>
      <c r="F217">
        <f t="shared" si="0"/>
        <v>304.5</v>
      </c>
    </row>
    <row r="218" spans="1:6">
      <c r="A218">
        <v>205</v>
      </c>
      <c r="B218" t="s">
        <v>471</v>
      </c>
      <c r="C218">
        <v>1</v>
      </c>
      <c r="D218" s="1">
        <v>45449</v>
      </c>
      <c r="E218">
        <v>316.44</v>
      </c>
      <c r="F218">
        <f t="shared" si="0"/>
        <v>316.44</v>
      </c>
    </row>
    <row r="219" spans="1:6">
      <c r="A219">
        <v>323</v>
      </c>
      <c r="B219" t="s">
        <v>832</v>
      </c>
      <c r="C219">
        <v>1</v>
      </c>
      <c r="D219" s="1">
        <v>45449</v>
      </c>
      <c r="E219">
        <v>952</v>
      </c>
      <c r="F219">
        <v>0</v>
      </c>
    </row>
    <row r="220" spans="1:6">
      <c r="A220">
        <v>206</v>
      </c>
      <c r="B220" t="s">
        <v>468</v>
      </c>
      <c r="C220">
        <v>2</v>
      </c>
      <c r="D220" s="1">
        <v>45450</v>
      </c>
      <c r="E220">
        <v>7.95</v>
      </c>
      <c r="F220">
        <f>E220*C220</f>
        <v>15.9</v>
      </c>
    </row>
    <row r="221" spans="1:6">
      <c r="A221">
        <v>207</v>
      </c>
      <c r="B221" t="s">
        <v>477</v>
      </c>
      <c r="C221">
        <v>1</v>
      </c>
      <c r="D221" s="1">
        <v>45453</v>
      </c>
      <c r="E221">
        <v>3.38</v>
      </c>
      <c r="F221">
        <f>E221*C221</f>
        <v>3.38</v>
      </c>
    </row>
    <row r="222" spans="1:6">
      <c r="A222">
        <v>322</v>
      </c>
      <c r="B222" t="s">
        <v>829</v>
      </c>
      <c r="C222">
        <v>1</v>
      </c>
      <c r="D222" s="1">
        <v>45453</v>
      </c>
      <c r="E222">
        <v>304.5</v>
      </c>
      <c r="F222">
        <v>0</v>
      </c>
    </row>
    <row r="223" spans="1:6">
      <c r="A223">
        <v>208</v>
      </c>
      <c r="B223" t="s">
        <v>327</v>
      </c>
      <c r="C223">
        <v>1</v>
      </c>
      <c r="D223" s="1">
        <v>45454</v>
      </c>
      <c r="E223">
        <v>547.4</v>
      </c>
      <c r="F223">
        <f>E223*C223</f>
        <v>547.4</v>
      </c>
    </row>
    <row r="224" spans="1:6">
      <c r="A224">
        <v>210</v>
      </c>
      <c r="B224" t="s">
        <v>469</v>
      </c>
      <c r="C224">
        <v>3</v>
      </c>
      <c r="D224" s="1">
        <v>45455</v>
      </c>
      <c r="E224">
        <v>7.95</v>
      </c>
      <c r="F224">
        <v>0</v>
      </c>
    </row>
    <row r="225" spans="1:6">
      <c r="A225">
        <v>209</v>
      </c>
      <c r="B225" t="s">
        <v>800</v>
      </c>
      <c r="C225">
        <v>2</v>
      </c>
      <c r="D225" s="1">
        <v>45457</v>
      </c>
      <c r="E225">
        <v>24.1</v>
      </c>
      <c r="F225">
        <v>0</v>
      </c>
    </row>
    <row r="226" spans="1:6">
      <c r="A226">
        <v>211</v>
      </c>
      <c r="B226" t="s">
        <v>803</v>
      </c>
      <c r="C226">
        <v>1</v>
      </c>
      <c r="D226" s="1">
        <v>45457</v>
      </c>
      <c r="E226">
        <v>53.95</v>
      </c>
      <c r="F226">
        <v>0</v>
      </c>
    </row>
    <row r="227" spans="1:6">
      <c r="A227">
        <v>212</v>
      </c>
      <c r="B227" t="s">
        <v>819</v>
      </c>
      <c r="C227">
        <v>1</v>
      </c>
      <c r="D227" s="1">
        <v>45460</v>
      </c>
      <c r="E227">
        <v>120</v>
      </c>
      <c r="F227">
        <v>0</v>
      </c>
    </row>
    <row r="228" spans="1:6">
      <c r="A228">
        <v>213</v>
      </c>
      <c r="B228" t="s">
        <v>803</v>
      </c>
      <c r="C228">
        <v>1</v>
      </c>
      <c r="D228" s="1">
        <v>45460</v>
      </c>
      <c r="E228">
        <v>53.95</v>
      </c>
      <c r="F228">
        <v>0</v>
      </c>
    </row>
    <row r="229" spans="1:6">
      <c r="A229">
        <v>214</v>
      </c>
      <c r="B229" t="s">
        <v>824</v>
      </c>
      <c r="C229">
        <v>1</v>
      </c>
      <c r="D229" s="1">
        <v>45460</v>
      </c>
      <c r="E229">
        <v>35.75</v>
      </c>
      <c r="F229">
        <v>0</v>
      </c>
    </row>
    <row r="230" spans="1:6">
      <c r="A230">
        <v>215</v>
      </c>
      <c r="B230" t="s">
        <v>803</v>
      </c>
      <c r="C230">
        <v>1</v>
      </c>
      <c r="D230" s="1">
        <v>45461</v>
      </c>
      <c r="E230">
        <v>53.95</v>
      </c>
      <c r="F230">
        <v>0</v>
      </c>
    </row>
    <row r="231" spans="1:6">
      <c r="A231">
        <v>216</v>
      </c>
      <c r="B231" t="s">
        <v>800</v>
      </c>
      <c r="C231">
        <v>1</v>
      </c>
      <c r="D231" s="1">
        <v>45461</v>
      </c>
      <c r="E231">
        <v>24.1</v>
      </c>
      <c r="F231">
        <v>0</v>
      </c>
    </row>
    <row r="232" spans="1:6">
      <c r="A232">
        <v>217</v>
      </c>
      <c r="B232" t="s">
        <v>449</v>
      </c>
      <c r="C232">
        <v>1</v>
      </c>
      <c r="D232" s="1">
        <v>45461</v>
      </c>
      <c r="E232">
        <v>2.8</v>
      </c>
      <c r="F232">
        <v>0</v>
      </c>
    </row>
    <row r="233" spans="1:6">
      <c r="A233">
        <v>218</v>
      </c>
      <c r="B233" t="s">
        <v>461</v>
      </c>
      <c r="C233">
        <v>1</v>
      </c>
      <c r="D233" s="1">
        <v>45462</v>
      </c>
      <c r="E233">
        <v>74.06</v>
      </c>
      <c r="F233">
        <v>0</v>
      </c>
    </row>
    <row r="234" spans="1:6">
      <c r="A234">
        <v>219</v>
      </c>
      <c r="B234" t="s">
        <v>800</v>
      </c>
      <c r="C234">
        <v>9</v>
      </c>
      <c r="D234" s="1">
        <v>45463</v>
      </c>
      <c r="E234">
        <v>24.1</v>
      </c>
      <c r="F234">
        <v>0</v>
      </c>
    </row>
    <row r="235" spans="1:6">
      <c r="A235">
        <v>220</v>
      </c>
      <c r="B235" t="s">
        <v>824</v>
      </c>
      <c r="C235">
        <v>7</v>
      </c>
      <c r="D235" s="1">
        <v>45463</v>
      </c>
      <c r="E235">
        <v>35.75</v>
      </c>
      <c r="F235">
        <v>0</v>
      </c>
    </row>
    <row r="236" spans="1:6">
      <c r="A236">
        <v>221</v>
      </c>
      <c r="B236" t="s">
        <v>824</v>
      </c>
      <c r="C236">
        <v>3</v>
      </c>
      <c r="D236" s="1">
        <v>45463</v>
      </c>
      <c r="E236">
        <v>35.75</v>
      </c>
      <c r="F236">
        <v>0</v>
      </c>
    </row>
    <row r="237" spans="1:6">
      <c r="A237">
        <v>222</v>
      </c>
      <c r="B237" t="s">
        <v>823</v>
      </c>
      <c r="C237">
        <v>3</v>
      </c>
      <c r="D237" s="1">
        <v>45463</v>
      </c>
      <c r="E237">
        <v>27.1</v>
      </c>
      <c r="F237">
        <v>0</v>
      </c>
    </row>
    <row r="238" spans="1:6">
      <c r="A238">
        <v>223</v>
      </c>
      <c r="B238" t="s">
        <v>824</v>
      </c>
      <c r="C238">
        <v>1</v>
      </c>
      <c r="D238" s="1">
        <v>45464</v>
      </c>
      <c r="E238">
        <v>35.75</v>
      </c>
      <c r="F238">
        <v>0</v>
      </c>
    </row>
    <row r="239" spans="1:6">
      <c r="A239">
        <v>224</v>
      </c>
      <c r="B239" t="s">
        <v>803</v>
      </c>
      <c r="C239">
        <v>1</v>
      </c>
      <c r="D239" s="1">
        <v>45464</v>
      </c>
      <c r="E239">
        <v>53.95</v>
      </c>
      <c r="F239">
        <v>0</v>
      </c>
    </row>
    <row r="240" spans="1:6">
      <c r="A240">
        <v>225</v>
      </c>
      <c r="B240" t="s">
        <v>314</v>
      </c>
      <c r="C240">
        <v>1</v>
      </c>
      <c r="D240" s="1">
        <v>45464</v>
      </c>
      <c r="E240">
        <v>268.95999999999998</v>
      </c>
      <c r="F240">
        <v>0</v>
      </c>
    </row>
    <row r="241" spans="1:6">
      <c r="A241">
        <v>226</v>
      </c>
      <c r="B241" t="s">
        <v>500</v>
      </c>
      <c r="C241">
        <v>1</v>
      </c>
      <c r="D241" s="1">
        <v>45464</v>
      </c>
      <c r="E241">
        <v>12</v>
      </c>
      <c r="F241">
        <v>0</v>
      </c>
    </row>
    <row r="242" spans="1:6">
      <c r="A242">
        <v>227</v>
      </c>
      <c r="B242" t="s">
        <v>500</v>
      </c>
      <c r="C242">
        <v>1</v>
      </c>
      <c r="D242" s="1">
        <v>45464</v>
      </c>
      <c r="E242">
        <v>12</v>
      </c>
      <c r="F242">
        <v>0</v>
      </c>
    </row>
    <row r="243" spans="1:6">
      <c r="A243">
        <v>228</v>
      </c>
      <c r="B243" t="s">
        <v>795</v>
      </c>
      <c r="C243">
        <v>1</v>
      </c>
      <c r="D243" s="1">
        <v>45468</v>
      </c>
      <c r="E243">
        <v>776.9</v>
      </c>
      <c r="F243">
        <v>0</v>
      </c>
    </row>
    <row r="244" spans="1:6">
      <c r="A244">
        <v>229</v>
      </c>
      <c r="B244" t="s">
        <v>803</v>
      </c>
      <c r="C244">
        <v>2</v>
      </c>
      <c r="D244" s="1">
        <v>45469</v>
      </c>
      <c r="E244">
        <v>53.95</v>
      </c>
      <c r="F244">
        <v>0</v>
      </c>
    </row>
    <row r="245" spans="1:6">
      <c r="A245">
        <v>230</v>
      </c>
      <c r="B245" t="s">
        <v>803</v>
      </c>
      <c r="C245">
        <v>1</v>
      </c>
      <c r="D245" s="1">
        <v>45470</v>
      </c>
      <c r="E245">
        <v>53.95</v>
      </c>
      <c r="F245">
        <v>0</v>
      </c>
    </row>
    <row r="246" spans="1:6">
      <c r="A246">
        <v>231</v>
      </c>
      <c r="B246" t="s">
        <v>803</v>
      </c>
      <c r="C246">
        <v>1</v>
      </c>
      <c r="D246" s="1">
        <v>45471</v>
      </c>
      <c r="E246">
        <v>53.95</v>
      </c>
      <c r="F246">
        <v>0</v>
      </c>
    </row>
    <row r="247" spans="1:6">
      <c r="A247">
        <v>232</v>
      </c>
      <c r="B247" t="s">
        <v>455</v>
      </c>
      <c r="C247">
        <v>1</v>
      </c>
      <c r="D247" s="1">
        <v>45471</v>
      </c>
      <c r="E247">
        <v>80</v>
      </c>
      <c r="F247">
        <v>0</v>
      </c>
    </row>
    <row r="248" spans="1:6">
      <c r="A248">
        <v>233</v>
      </c>
      <c r="B248" t="s">
        <v>822</v>
      </c>
      <c r="C248">
        <v>1</v>
      </c>
      <c r="D248" s="1">
        <v>45471</v>
      </c>
      <c r="E248">
        <v>124.25</v>
      </c>
      <c r="F248">
        <v>0</v>
      </c>
    </row>
    <row r="249" spans="1:6">
      <c r="A249">
        <v>234</v>
      </c>
      <c r="B249" t="s">
        <v>468</v>
      </c>
      <c r="C249">
        <v>1</v>
      </c>
      <c r="D249" s="1">
        <v>45471</v>
      </c>
      <c r="E249">
        <v>7.95</v>
      </c>
      <c r="F249">
        <v>0</v>
      </c>
    </row>
    <row r="250" spans="1:6">
      <c r="A250">
        <v>235</v>
      </c>
      <c r="B250" t="s">
        <v>471</v>
      </c>
      <c r="C250">
        <v>1</v>
      </c>
      <c r="D250" s="1">
        <v>45471</v>
      </c>
      <c r="E250">
        <v>316.44</v>
      </c>
      <c r="F250">
        <v>0</v>
      </c>
    </row>
    <row r="251" spans="1:6">
      <c r="A251">
        <v>318</v>
      </c>
      <c r="B251" t="s">
        <v>455</v>
      </c>
      <c r="C251">
        <v>1</v>
      </c>
      <c r="D251" s="1">
        <v>45471</v>
      </c>
      <c r="E251">
        <v>80</v>
      </c>
      <c r="F251">
        <v>0</v>
      </c>
    </row>
    <row r="252" spans="1:6">
      <c r="A252">
        <v>236</v>
      </c>
      <c r="B252" t="s">
        <v>823</v>
      </c>
      <c r="C252">
        <v>1</v>
      </c>
      <c r="D252" s="1">
        <v>45475</v>
      </c>
      <c r="E252">
        <v>27.1</v>
      </c>
      <c r="F252">
        <v>0</v>
      </c>
    </row>
    <row r="253" spans="1:6">
      <c r="A253">
        <v>237</v>
      </c>
      <c r="B253" t="s">
        <v>824</v>
      </c>
      <c r="C253">
        <v>1</v>
      </c>
      <c r="D253" s="1">
        <v>45475</v>
      </c>
      <c r="E253">
        <v>35.75</v>
      </c>
      <c r="F253">
        <v>0</v>
      </c>
    </row>
    <row r="254" spans="1:6">
      <c r="A254">
        <v>238</v>
      </c>
      <c r="B254" t="s">
        <v>468</v>
      </c>
      <c r="C254">
        <v>1</v>
      </c>
      <c r="D254" s="1">
        <v>45475</v>
      </c>
      <c r="E254">
        <v>7.95</v>
      </c>
      <c r="F254">
        <v>0</v>
      </c>
    </row>
    <row r="255" spans="1:6">
      <c r="A255">
        <v>320</v>
      </c>
      <c r="B255" t="s">
        <v>466</v>
      </c>
      <c r="C255">
        <v>1</v>
      </c>
      <c r="D255" s="1">
        <v>45476</v>
      </c>
      <c r="E255">
        <v>390</v>
      </c>
      <c r="F255">
        <v>0</v>
      </c>
    </row>
    <row r="256" spans="1:6">
      <c r="A256">
        <v>239</v>
      </c>
      <c r="B256" t="s">
        <v>803</v>
      </c>
      <c r="C256">
        <v>1</v>
      </c>
      <c r="D256" s="1">
        <v>45477</v>
      </c>
      <c r="E256">
        <v>53.95</v>
      </c>
      <c r="F256">
        <v>0</v>
      </c>
    </row>
    <row r="257" spans="1:6">
      <c r="A257">
        <v>240</v>
      </c>
      <c r="B257" t="s">
        <v>800</v>
      </c>
      <c r="C257">
        <v>1</v>
      </c>
      <c r="D257" s="1">
        <v>45477</v>
      </c>
      <c r="E257">
        <v>24.1</v>
      </c>
      <c r="F257">
        <v>0</v>
      </c>
    </row>
    <row r="258" spans="1:6">
      <c r="A258">
        <v>241</v>
      </c>
      <c r="B258" t="s">
        <v>820</v>
      </c>
      <c r="C258">
        <v>1</v>
      </c>
      <c r="D258" s="1">
        <v>45477</v>
      </c>
      <c r="E258">
        <v>73.5</v>
      </c>
      <c r="F258">
        <v>0</v>
      </c>
    </row>
    <row r="259" spans="1:6">
      <c r="A259">
        <v>242</v>
      </c>
      <c r="B259" t="s">
        <v>799</v>
      </c>
      <c r="C259">
        <v>1</v>
      </c>
      <c r="D259" s="1">
        <v>45484</v>
      </c>
      <c r="E259">
        <v>67.25</v>
      </c>
      <c r="F259">
        <v>0</v>
      </c>
    </row>
    <row r="260" spans="1:6">
      <c r="A260">
        <v>243</v>
      </c>
      <c r="B260" t="s">
        <v>449</v>
      </c>
      <c r="C260">
        <v>1</v>
      </c>
      <c r="D260" s="1">
        <v>45484</v>
      </c>
      <c r="E260">
        <v>2.8</v>
      </c>
      <c r="F260">
        <v>0</v>
      </c>
    </row>
    <row r="261" spans="1:6">
      <c r="A261">
        <v>244</v>
      </c>
      <c r="B261" t="s">
        <v>804</v>
      </c>
      <c r="C261">
        <v>12</v>
      </c>
      <c r="D261" s="1">
        <v>45484</v>
      </c>
      <c r="E261">
        <v>28.95</v>
      </c>
      <c r="F261">
        <v>0</v>
      </c>
    </row>
    <row r="262" spans="1:6">
      <c r="A262">
        <v>245</v>
      </c>
      <c r="B262" t="s">
        <v>823</v>
      </c>
      <c r="C262">
        <v>1</v>
      </c>
      <c r="D262" s="1">
        <v>45484</v>
      </c>
      <c r="E262">
        <v>27.1</v>
      </c>
      <c r="F262">
        <v>0</v>
      </c>
    </row>
    <row r="263" spans="1:6">
      <c r="A263">
        <v>246</v>
      </c>
      <c r="B263" t="s">
        <v>449</v>
      </c>
      <c r="C263">
        <v>1</v>
      </c>
      <c r="D263" s="1">
        <v>45484</v>
      </c>
      <c r="E263">
        <v>2.8</v>
      </c>
      <c r="F263">
        <v>0</v>
      </c>
    </row>
    <row r="264" spans="1:6">
      <c r="A264">
        <v>248</v>
      </c>
      <c r="B264" t="s">
        <v>896</v>
      </c>
      <c r="C264">
        <v>1</v>
      </c>
      <c r="D264" s="1">
        <v>45488</v>
      </c>
      <c r="E264">
        <v>211.18</v>
      </c>
      <c r="F264">
        <v>0</v>
      </c>
    </row>
    <row r="265" spans="1:6">
      <c r="A265">
        <v>249</v>
      </c>
      <c r="B265" t="s">
        <v>803</v>
      </c>
      <c r="C265">
        <v>1</v>
      </c>
      <c r="D265" s="1">
        <v>45488</v>
      </c>
      <c r="E265">
        <v>53.95</v>
      </c>
      <c r="F265">
        <v>0</v>
      </c>
    </row>
    <row r="266" spans="1:6">
      <c r="A266">
        <v>250</v>
      </c>
      <c r="B266" t="s">
        <v>468</v>
      </c>
      <c r="C266">
        <v>3</v>
      </c>
      <c r="D266" s="1">
        <v>45488</v>
      </c>
      <c r="E266">
        <v>7.95</v>
      </c>
      <c r="F266">
        <v>0</v>
      </c>
    </row>
    <row r="267" spans="1:6">
      <c r="A267">
        <v>251</v>
      </c>
      <c r="B267" t="s">
        <v>468</v>
      </c>
      <c r="C267">
        <v>1</v>
      </c>
      <c r="D267" s="1">
        <v>45489</v>
      </c>
      <c r="E267">
        <v>7.95</v>
      </c>
      <c r="F267">
        <v>0</v>
      </c>
    </row>
    <row r="268" spans="1:6">
      <c r="A268">
        <v>469</v>
      </c>
      <c r="B268" t="s">
        <v>314</v>
      </c>
      <c r="C268">
        <v>1</v>
      </c>
      <c r="D268" s="1">
        <v>45489</v>
      </c>
      <c r="E268">
        <v>268.95999999999998</v>
      </c>
      <c r="F268">
        <v>0</v>
      </c>
    </row>
    <row r="269" spans="1:6">
      <c r="A269">
        <v>252</v>
      </c>
      <c r="B269" t="s">
        <v>468</v>
      </c>
      <c r="C269">
        <v>3</v>
      </c>
      <c r="D269" s="1">
        <v>45496</v>
      </c>
      <c r="E269">
        <v>7.95</v>
      </c>
      <c r="F269">
        <v>0</v>
      </c>
    </row>
    <row r="270" spans="1:6">
      <c r="A270">
        <v>253</v>
      </c>
      <c r="B270" t="s">
        <v>800</v>
      </c>
      <c r="C270">
        <v>3</v>
      </c>
      <c r="D270" s="1">
        <v>45496</v>
      </c>
      <c r="E270">
        <v>24.1</v>
      </c>
      <c r="F270">
        <v>0</v>
      </c>
    </row>
    <row r="271" spans="1:6">
      <c r="A271">
        <v>254</v>
      </c>
      <c r="B271" t="s">
        <v>800</v>
      </c>
      <c r="C271">
        <v>2</v>
      </c>
      <c r="D271" s="1">
        <v>45498</v>
      </c>
      <c r="E271">
        <v>24.1</v>
      </c>
      <c r="F271">
        <v>0</v>
      </c>
    </row>
    <row r="272" spans="1:6">
      <c r="A272">
        <v>255</v>
      </c>
      <c r="B272" t="s">
        <v>743</v>
      </c>
      <c r="C272">
        <v>1</v>
      </c>
      <c r="D272" s="1">
        <v>45498</v>
      </c>
      <c r="E272">
        <v>119</v>
      </c>
      <c r="F272">
        <v>0</v>
      </c>
    </row>
    <row r="273" spans="1:6">
      <c r="A273">
        <v>256</v>
      </c>
      <c r="B273" t="s">
        <v>473</v>
      </c>
      <c r="C273">
        <v>1</v>
      </c>
      <c r="D273" s="1">
        <v>45499</v>
      </c>
      <c r="E273">
        <v>102.24</v>
      </c>
      <c r="F273">
        <v>0</v>
      </c>
    </row>
    <row r="274" spans="1:6">
      <c r="A274">
        <v>257</v>
      </c>
      <c r="B274" t="s">
        <v>886</v>
      </c>
      <c r="C274">
        <v>2</v>
      </c>
      <c r="D274" s="1">
        <v>45499</v>
      </c>
      <c r="E274">
        <v>35.75</v>
      </c>
      <c r="F274">
        <v>0</v>
      </c>
    </row>
    <row r="275" spans="1:6">
      <c r="A275">
        <v>258</v>
      </c>
      <c r="B275" t="s">
        <v>886</v>
      </c>
      <c r="C275">
        <v>1</v>
      </c>
      <c r="D275" s="1">
        <v>45499</v>
      </c>
      <c r="E275">
        <v>35.75</v>
      </c>
      <c r="F275">
        <v>0</v>
      </c>
    </row>
    <row r="276" spans="1:6">
      <c r="A276">
        <v>259</v>
      </c>
      <c r="B276" t="s">
        <v>886</v>
      </c>
      <c r="C276">
        <v>2</v>
      </c>
      <c r="D276" s="1">
        <v>45499</v>
      </c>
      <c r="E276">
        <v>35.75</v>
      </c>
      <c r="F276">
        <v>0</v>
      </c>
    </row>
    <row r="277" spans="1:6">
      <c r="A277">
        <v>260</v>
      </c>
      <c r="B277" t="s">
        <v>800</v>
      </c>
      <c r="C277">
        <v>3</v>
      </c>
      <c r="D277" s="1">
        <v>45499</v>
      </c>
      <c r="E277">
        <v>24.1</v>
      </c>
      <c r="F277">
        <v>0</v>
      </c>
    </row>
    <row r="278" spans="1:6">
      <c r="A278">
        <v>261</v>
      </c>
      <c r="B278" t="s">
        <v>803</v>
      </c>
      <c r="C278">
        <v>4</v>
      </c>
      <c r="D278" s="1">
        <v>45499</v>
      </c>
      <c r="E278">
        <v>53.95</v>
      </c>
      <c r="F278">
        <v>0</v>
      </c>
    </row>
    <row r="279" spans="1:6">
      <c r="A279">
        <v>262</v>
      </c>
      <c r="B279" t="s">
        <v>327</v>
      </c>
      <c r="C279">
        <v>1</v>
      </c>
      <c r="D279" s="1">
        <v>45502</v>
      </c>
      <c r="E279">
        <v>547.4</v>
      </c>
      <c r="F279">
        <v>0</v>
      </c>
    </row>
    <row r="280" spans="1:6">
      <c r="A280">
        <v>263</v>
      </c>
      <c r="B280" t="s">
        <v>795</v>
      </c>
      <c r="C280">
        <v>1</v>
      </c>
      <c r="D280" s="1">
        <v>45502</v>
      </c>
      <c r="E280">
        <v>776.9</v>
      </c>
      <c r="F280">
        <v>0</v>
      </c>
    </row>
    <row r="281" spans="1:6">
      <c r="A281">
        <v>264</v>
      </c>
      <c r="B281" t="s">
        <v>500</v>
      </c>
      <c r="C281">
        <v>1</v>
      </c>
      <c r="D281" s="1">
        <v>45503</v>
      </c>
      <c r="E281">
        <v>12</v>
      </c>
      <c r="F281">
        <v>0</v>
      </c>
    </row>
    <row r="282" spans="1:6">
      <c r="A282">
        <v>265</v>
      </c>
      <c r="B282" t="s">
        <v>471</v>
      </c>
      <c r="C282">
        <v>1</v>
      </c>
      <c r="D282" s="1">
        <v>45503</v>
      </c>
      <c r="E282">
        <v>316.44</v>
      </c>
      <c r="F282">
        <v>0</v>
      </c>
    </row>
    <row r="283" spans="1:6">
      <c r="A283">
        <v>266</v>
      </c>
      <c r="B283" t="s">
        <v>466</v>
      </c>
      <c r="C283">
        <v>1</v>
      </c>
      <c r="D283" s="1">
        <v>45504</v>
      </c>
      <c r="E283">
        <v>390</v>
      </c>
      <c r="F283">
        <v>0</v>
      </c>
    </row>
    <row r="284" spans="1:6">
      <c r="A284">
        <v>267</v>
      </c>
      <c r="B284" t="s">
        <v>483</v>
      </c>
      <c r="C284">
        <v>1</v>
      </c>
      <c r="D284" s="1">
        <v>45504</v>
      </c>
      <c r="E284">
        <v>385</v>
      </c>
      <c r="F284">
        <v>0</v>
      </c>
    </row>
    <row r="285" spans="1:6">
      <c r="A285">
        <v>268</v>
      </c>
      <c r="B285" t="s">
        <v>468</v>
      </c>
      <c r="C285">
        <v>1</v>
      </c>
      <c r="D285" s="1">
        <v>45504</v>
      </c>
      <c r="E285">
        <v>7.95</v>
      </c>
      <c r="F285">
        <v>0</v>
      </c>
    </row>
    <row r="286" spans="1:6">
      <c r="A286">
        <v>269</v>
      </c>
      <c r="B286" t="s">
        <v>469</v>
      </c>
      <c r="C286">
        <v>1</v>
      </c>
      <c r="D286" s="1">
        <v>45504</v>
      </c>
      <c r="E286">
        <v>7.95</v>
      </c>
      <c r="F286">
        <v>0</v>
      </c>
    </row>
    <row r="287" spans="1:6">
      <c r="A287">
        <v>270</v>
      </c>
      <c r="B287" t="s">
        <v>477</v>
      </c>
      <c r="C287">
        <v>2</v>
      </c>
      <c r="D287" s="1">
        <v>45504</v>
      </c>
      <c r="E287">
        <v>3.38</v>
      </c>
      <c r="F287">
        <v>0</v>
      </c>
    </row>
    <row r="288" spans="1:6">
      <c r="A288">
        <v>271</v>
      </c>
      <c r="B288" t="s">
        <v>803</v>
      </c>
      <c r="C288">
        <v>1</v>
      </c>
      <c r="D288" s="1">
        <v>45505</v>
      </c>
      <c r="E288">
        <v>53.95</v>
      </c>
      <c r="F288">
        <v>0</v>
      </c>
    </row>
    <row r="289" spans="1:6">
      <c r="A289">
        <v>272</v>
      </c>
      <c r="B289" t="s">
        <v>799</v>
      </c>
      <c r="C289">
        <v>2</v>
      </c>
      <c r="D289" s="1">
        <v>45505</v>
      </c>
      <c r="E289">
        <v>67.25</v>
      </c>
      <c r="F289">
        <v>0</v>
      </c>
    </row>
    <row r="290" spans="1:6">
      <c r="A290">
        <v>273</v>
      </c>
      <c r="B290" t="s">
        <v>800</v>
      </c>
      <c r="C290">
        <v>1</v>
      </c>
      <c r="D290" s="1">
        <v>45505</v>
      </c>
      <c r="E290">
        <v>24.1</v>
      </c>
      <c r="F290">
        <v>0</v>
      </c>
    </row>
    <row r="291" spans="1:6">
      <c r="A291">
        <v>274</v>
      </c>
      <c r="B291" t="s">
        <v>886</v>
      </c>
      <c r="C291">
        <v>2</v>
      </c>
      <c r="D291" s="1">
        <v>45505</v>
      </c>
      <c r="E291">
        <v>35.75</v>
      </c>
      <c r="F291">
        <v>0</v>
      </c>
    </row>
    <row r="292" spans="1:6">
      <c r="A292">
        <v>471</v>
      </c>
      <c r="B292" t="s">
        <v>473</v>
      </c>
      <c r="C292">
        <v>1</v>
      </c>
      <c r="D292" s="1">
        <v>45505</v>
      </c>
      <c r="E292">
        <v>102.24</v>
      </c>
      <c r="F292">
        <v>0</v>
      </c>
    </row>
    <row r="293" spans="1:6">
      <c r="A293">
        <v>275</v>
      </c>
      <c r="B293" t="s">
        <v>886</v>
      </c>
      <c r="C293">
        <v>1</v>
      </c>
      <c r="D293" s="1">
        <v>45506</v>
      </c>
      <c r="E293">
        <v>35.75</v>
      </c>
      <c r="F293">
        <v>0</v>
      </c>
    </row>
    <row r="294" spans="1:6">
      <c r="A294">
        <v>276</v>
      </c>
      <c r="B294" t="s">
        <v>879</v>
      </c>
      <c r="C294">
        <v>3</v>
      </c>
      <c r="D294" s="1">
        <v>45511</v>
      </c>
      <c r="E294">
        <v>22.36</v>
      </c>
      <c r="F294">
        <v>0</v>
      </c>
    </row>
    <row r="295" spans="1:6">
      <c r="A295">
        <v>277</v>
      </c>
      <c r="B295" t="s">
        <v>469</v>
      </c>
      <c r="C295">
        <v>2</v>
      </c>
      <c r="D295" s="1">
        <v>45513</v>
      </c>
      <c r="E295">
        <v>7.95</v>
      </c>
      <c r="F295">
        <v>0</v>
      </c>
    </row>
    <row r="296" spans="1:6">
      <c r="A296">
        <v>278</v>
      </c>
      <c r="B296" t="s">
        <v>791</v>
      </c>
      <c r="C296">
        <v>2</v>
      </c>
      <c r="D296" s="1">
        <v>45513</v>
      </c>
      <c r="E296">
        <v>413.32</v>
      </c>
      <c r="F296">
        <v>0</v>
      </c>
    </row>
    <row r="297" spans="1:6">
      <c r="A297">
        <v>279</v>
      </c>
      <c r="B297" t="s">
        <v>799</v>
      </c>
      <c r="C297">
        <v>3</v>
      </c>
      <c r="D297" s="1">
        <v>45516</v>
      </c>
      <c r="E297">
        <v>67.25</v>
      </c>
      <c r="F297">
        <v>0</v>
      </c>
    </row>
    <row r="298" spans="1:6">
      <c r="A298">
        <v>280</v>
      </c>
      <c r="B298" t="s">
        <v>840</v>
      </c>
      <c r="C298">
        <v>1</v>
      </c>
      <c r="D298" s="1">
        <v>45517</v>
      </c>
      <c r="E298">
        <v>27.2</v>
      </c>
      <c r="F298">
        <v>0</v>
      </c>
    </row>
    <row r="299" spans="1:6">
      <c r="A299">
        <v>281</v>
      </c>
      <c r="B299" t="s">
        <v>803</v>
      </c>
      <c r="C299">
        <v>2</v>
      </c>
      <c r="D299" s="1">
        <v>45518</v>
      </c>
      <c r="E299">
        <v>53.95</v>
      </c>
      <c r="F299">
        <v>0</v>
      </c>
    </row>
    <row r="300" spans="1:6">
      <c r="A300">
        <v>312</v>
      </c>
      <c r="B300" t="s">
        <v>327</v>
      </c>
      <c r="C300">
        <v>1</v>
      </c>
      <c r="D300" s="1">
        <v>45519</v>
      </c>
      <c r="E300">
        <v>547.4</v>
      </c>
      <c r="F300">
        <v>0</v>
      </c>
    </row>
    <row r="301" spans="1:6">
      <c r="A301">
        <v>350</v>
      </c>
      <c r="B301" t="s">
        <v>471</v>
      </c>
      <c r="C301">
        <v>1</v>
      </c>
      <c r="D301" s="1">
        <v>45519</v>
      </c>
      <c r="E301">
        <v>316.44</v>
      </c>
      <c r="F301">
        <v>0</v>
      </c>
    </row>
    <row r="302" spans="1:6">
      <c r="A302">
        <v>282</v>
      </c>
      <c r="B302" t="s">
        <v>468</v>
      </c>
      <c r="C302">
        <v>2</v>
      </c>
      <c r="D302" s="1">
        <v>45525</v>
      </c>
      <c r="E302">
        <v>7.95</v>
      </c>
      <c r="F302">
        <v>0</v>
      </c>
    </row>
    <row r="303" spans="1:6">
      <c r="A303">
        <v>283</v>
      </c>
      <c r="B303" t="s">
        <v>803</v>
      </c>
      <c r="C303">
        <v>4</v>
      </c>
      <c r="D303" s="1">
        <v>45525</v>
      </c>
      <c r="E303">
        <v>53.95</v>
      </c>
      <c r="F303">
        <v>0</v>
      </c>
    </row>
    <row r="304" spans="1:6">
      <c r="A304">
        <v>284</v>
      </c>
      <c r="B304" t="s">
        <v>822</v>
      </c>
      <c r="C304">
        <v>1</v>
      </c>
      <c r="D304" s="1">
        <v>45525</v>
      </c>
      <c r="E304">
        <v>124.25</v>
      </c>
      <c r="F304">
        <v>0</v>
      </c>
    </row>
    <row r="305" spans="1:6">
      <c r="A305">
        <v>285</v>
      </c>
      <c r="B305" t="s">
        <v>471</v>
      </c>
      <c r="C305">
        <v>1</v>
      </c>
      <c r="D305" s="1">
        <v>45526</v>
      </c>
      <c r="E305">
        <v>316.44</v>
      </c>
      <c r="F305">
        <v>0</v>
      </c>
    </row>
    <row r="306" spans="1:6">
      <c r="A306">
        <v>286</v>
      </c>
      <c r="B306" t="s">
        <v>837</v>
      </c>
      <c r="C306">
        <v>1</v>
      </c>
      <c r="D306" s="1">
        <v>45526</v>
      </c>
      <c r="E306">
        <v>393</v>
      </c>
      <c r="F306">
        <v>0</v>
      </c>
    </row>
    <row r="307" spans="1:6">
      <c r="A307">
        <v>287</v>
      </c>
      <c r="B307" t="s">
        <v>838</v>
      </c>
      <c r="C307">
        <v>2</v>
      </c>
      <c r="D307" s="1">
        <v>45526</v>
      </c>
      <c r="E307">
        <v>391</v>
      </c>
      <c r="F307">
        <v>0</v>
      </c>
    </row>
    <row r="308" spans="1:6">
      <c r="A308">
        <v>288</v>
      </c>
      <c r="B308" t="s">
        <v>455</v>
      </c>
      <c r="C308">
        <v>1</v>
      </c>
      <c r="D308" s="1">
        <v>45526</v>
      </c>
      <c r="E308">
        <v>80</v>
      </c>
      <c r="F308">
        <v>0</v>
      </c>
    </row>
    <row r="309" spans="1:6">
      <c r="A309">
        <v>289</v>
      </c>
      <c r="B309" t="s">
        <v>449</v>
      </c>
      <c r="C309">
        <v>1</v>
      </c>
      <c r="D309" s="1">
        <v>45530</v>
      </c>
      <c r="E309">
        <v>2.8</v>
      </c>
      <c r="F309">
        <v>0</v>
      </c>
    </row>
    <row r="310" spans="1:6">
      <c r="A310">
        <v>354</v>
      </c>
      <c r="B310" t="s">
        <v>820</v>
      </c>
      <c r="C310">
        <v>1</v>
      </c>
      <c r="D310" s="1">
        <v>45530</v>
      </c>
      <c r="E310">
        <v>73.5</v>
      </c>
      <c r="F310">
        <v>0</v>
      </c>
    </row>
    <row r="311" spans="1:6">
      <c r="A311">
        <v>290</v>
      </c>
      <c r="B311" t="s">
        <v>803</v>
      </c>
      <c r="C311">
        <v>1</v>
      </c>
      <c r="D311" s="1">
        <v>45532</v>
      </c>
      <c r="E311">
        <v>53.95</v>
      </c>
      <c r="F311">
        <v>0</v>
      </c>
    </row>
    <row r="312" spans="1:6">
      <c r="A312">
        <v>351</v>
      </c>
      <c r="B312" t="s">
        <v>471</v>
      </c>
      <c r="C312">
        <v>1</v>
      </c>
      <c r="D312" s="1">
        <v>45533</v>
      </c>
      <c r="E312">
        <v>316.44</v>
      </c>
      <c r="F312">
        <v>0</v>
      </c>
    </row>
    <row r="313" spans="1:6">
      <c r="A313">
        <v>291</v>
      </c>
      <c r="B313" t="s">
        <v>803</v>
      </c>
      <c r="C313">
        <v>1</v>
      </c>
      <c r="D313" s="1">
        <v>45534</v>
      </c>
      <c r="E313">
        <v>53.95</v>
      </c>
      <c r="F313">
        <v>0</v>
      </c>
    </row>
    <row r="314" spans="1:6">
      <c r="A314">
        <v>292</v>
      </c>
      <c r="B314" t="s">
        <v>795</v>
      </c>
      <c r="C314">
        <v>1</v>
      </c>
      <c r="D314" s="1">
        <v>45534</v>
      </c>
      <c r="E314">
        <v>776.9</v>
      </c>
      <c r="F314">
        <v>0</v>
      </c>
    </row>
    <row r="315" spans="1:6">
      <c r="A315">
        <v>293</v>
      </c>
      <c r="B315" t="s">
        <v>424</v>
      </c>
      <c r="C315">
        <v>1</v>
      </c>
      <c r="D315" s="1">
        <v>45534</v>
      </c>
      <c r="E315">
        <v>560.78</v>
      </c>
      <c r="F315">
        <v>0</v>
      </c>
    </row>
    <row r="316" spans="1:6">
      <c r="A316">
        <v>294</v>
      </c>
      <c r="B316" t="s">
        <v>800</v>
      </c>
      <c r="C316">
        <v>3</v>
      </c>
      <c r="D316" s="1">
        <v>45534</v>
      </c>
      <c r="E316">
        <v>24.1</v>
      </c>
      <c r="F316">
        <v>0</v>
      </c>
    </row>
    <row r="317" spans="1:6">
      <c r="A317">
        <v>295</v>
      </c>
      <c r="B317" t="s">
        <v>800</v>
      </c>
      <c r="C317">
        <v>10</v>
      </c>
      <c r="D317" s="1">
        <v>45534</v>
      </c>
      <c r="E317">
        <v>24.1</v>
      </c>
      <c r="F317">
        <v>0</v>
      </c>
    </row>
    <row r="318" spans="1:6">
      <c r="A318">
        <v>296</v>
      </c>
      <c r="B318" t="s">
        <v>886</v>
      </c>
      <c r="C318">
        <v>4</v>
      </c>
      <c r="D318" s="1">
        <v>45534</v>
      </c>
      <c r="E318">
        <v>35.75</v>
      </c>
      <c r="F318">
        <v>0</v>
      </c>
    </row>
    <row r="319" spans="1:6">
      <c r="A319">
        <v>297</v>
      </c>
      <c r="B319" t="s">
        <v>886</v>
      </c>
      <c r="C319">
        <v>8</v>
      </c>
      <c r="D319" s="1">
        <v>45534</v>
      </c>
      <c r="E319">
        <v>35.75</v>
      </c>
      <c r="F319">
        <v>0</v>
      </c>
    </row>
    <row r="320" spans="1:6">
      <c r="A320">
        <v>353</v>
      </c>
      <c r="B320" t="s">
        <v>791</v>
      </c>
      <c r="C320">
        <v>1</v>
      </c>
      <c r="D320" s="1">
        <v>45537</v>
      </c>
      <c r="E320">
        <v>413.32</v>
      </c>
      <c r="F320">
        <v>0</v>
      </c>
    </row>
    <row r="321" spans="1:6">
      <c r="A321">
        <v>446</v>
      </c>
      <c r="B321" t="s">
        <v>471</v>
      </c>
      <c r="C321">
        <v>1</v>
      </c>
      <c r="D321" s="1">
        <v>45537</v>
      </c>
      <c r="E321">
        <v>316.44</v>
      </c>
      <c r="F321">
        <v>0</v>
      </c>
    </row>
    <row r="322" spans="1:6">
      <c r="A322">
        <v>298</v>
      </c>
      <c r="B322" t="s">
        <v>477</v>
      </c>
      <c r="C322">
        <v>1</v>
      </c>
      <c r="D322" s="1">
        <v>45538</v>
      </c>
      <c r="E322">
        <v>3.38</v>
      </c>
      <c r="F322">
        <v>0</v>
      </c>
    </row>
    <row r="323" spans="1:6">
      <c r="A323">
        <v>299</v>
      </c>
      <c r="B323" t="s">
        <v>838</v>
      </c>
      <c r="C323">
        <v>2</v>
      </c>
      <c r="D323" s="1">
        <v>45539</v>
      </c>
      <c r="E323">
        <v>391</v>
      </c>
      <c r="F323">
        <v>0</v>
      </c>
    </row>
    <row r="324" spans="1:6">
      <c r="A324">
        <v>300</v>
      </c>
      <c r="B324" t="s">
        <v>500</v>
      </c>
      <c r="C324">
        <v>1</v>
      </c>
      <c r="D324" s="1">
        <v>45539</v>
      </c>
      <c r="E324">
        <v>12</v>
      </c>
      <c r="F324">
        <v>0</v>
      </c>
    </row>
    <row r="325" spans="1:6">
      <c r="A325">
        <v>301</v>
      </c>
      <c r="B325" t="s">
        <v>803</v>
      </c>
      <c r="C325">
        <v>1</v>
      </c>
      <c r="D325" s="1">
        <v>45540</v>
      </c>
      <c r="E325">
        <v>53.95</v>
      </c>
      <c r="F325">
        <v>0</v>
      </c>
    </row>
    <row r="326" spans="1:6">
      <c r="A326">
        <v>302</v>
      </c>
      <c r="B326" t="s">
        <v>468</v>
      </c>
      <c r="C326">
        <v>1</v>
      </c>
      <c r="D326" s="1">
        <v>45540</v>
      </c>
      <c r="E326">
        <v>7.95</v>
      </c>
      <c r="F326">
        <v>0</v>
      </c>
    </row>
    <row r="327" spans="1:6">
      <c r="A327">
        <v>303</v>
      </c>
      <c r="B327" t="s">
        <v>477</v>
      </c>
      <c r="C327">
        <v>1</v>
      </c>
      <c r="D327" s="1">
        <v>45541</v>
      </c>
      <c r="E327">
        <v>3.38</v>
      </c>
      <c r="F327">
        <v>0</v>
      </c>
    </row>
    <row r="328" spans="1:6">
      <c r="A328">
        <v>304</v>
      </c>
      <c r="B328" t="s">
        <v>800</v>
      </c>
      <c r="C328">
        <v>1</v>
      </c>
      <c r="D328" s="1">
        <v>45541</v>
      </c>
      <c r="E328">
        <v>24.1</v>
      </c>
      <c r="F328">
        <v>0</v>
      </c>
    </row>
    <row r="329" spans="1:6">
      <c r="A329">
        <v>305</v>
      </c>
      <c r="B329" t="s">
        <v>800</v>
      </c>
      <c r="C329">
        <v>1</v>
      </c>
      <c r="D329" s="1">
        <v>45541</v>
      </c>
      <c r="E329">
        <v>24.1</v>
      </c>
      <c r="F329">
        <v>0</v>
      </c>
    </row>
    <row r="330" spans="1:6">
      <c r="A330">
        <v>306</v>
      </c>
      <c r="B330" t="s">
        <v>886</v>
      </c>
      <c r="C330">
        <v>2</v>
      </c>
      <c r="D330" s="1">
        <v>45541</v>
      </c>
      <c r="E330">
        <v>35.75</v>
      </c>
      <c r="F330">
        <v>0</v>
      </c>
    </row>
    <row r="331" spans="1:6">
      <c r="A331">
        <v>307</v>
      </c>
      <c r="B331" t="s">
        <v>799</v>
      </c>
      <c r="C331">
        <v>4</v>
      </c>
      <c r="D331" s="1">
        <v>45544</v>
      </c>
      <c r="E331">
        <v>67.25</v>
      </c>
      <c r="F331">
        <v>0</v>
      </c>
    </row>
    <row r="332" spans="1:6">
      <c r="A332">
        <v>308</v>
      </c>
      <c r="B332" t="s">
        <v>831</v>
      </c>
      <c r="C332">
        <v>1</v>
      </c>
      <c r="D332" s="1">
        <v>45545</v>
      </c>
      <c r="E332">
        <v>400</v>
      </c>
      <c r="F332">
        <v>0</v>
      </c>
    </row>
    <row r="333" spans="1:6">
      <c r="A333">
        <v>309</v>
      </c>
      <c r="B333" t="s">
        <v>471</v>
      </c>
      <c r="C333">
        <v>1</v>
      </c>
      <c r="D333" s="1">
        <v>45546</v>
      </c>
      <c r="E333">
        <v>316.44</v>
      </c>
      <c r="F333">
        <v>0</v>
      </c>
    </row>
    <row r="334" spans="1:6">
      <c r="A334">
        <v>310</v>
      </c>
      <c r="B334" t="s">
        <v>468</v>
      </c>
      <c r="C334">
        <v>1</v>
      </c>
      <c r="D334" s="1">
        <v>45548</v>
      </c>
      <c r="E334">
        <v>7.95</v>
      </c>
      <c r="F334">
        <v>0</v>
      </c>
    </row>
    <row r="335" spans="1:6">
      <c r="A335">
        <v>311</v>
      </c>
      <c r="B335" t="s">
        <v>449</v>
      </c>
      <c r="C335">
        <v>1</v>
      </c>
      <c r="D335" s="1">
        <v>45548</v>
      </c>
      <c r="E335">
        <v>2.8</v>
      </c>
      <c r="F335">
        <v>0</v>
      </c>
    </row>
    <row r="336" spans="1:6">
      <c r="A336">
        <v>468</v>
      </c>
      <c r="B336" t="s">
        <v>821</v>
      </c>
      <c r="C336">
        <v>1</v>
      </c>
      <c r="D336" s="1">
        <v>45552</v>
      </c>
      <c r="E336">
        <v>119</v>
      </c>
      <c r="F336">
        <v>0</v>
      </c>
    </row>
    <row r="337" spans="1:6">
      <c r="A337">
        <v>448</v>
      </c>
      <c r="B337" t="s">
        <v>831</v>
      </c>
      <c r="C337">
        <v>1</v>
      </c>
      <c r="D337" s="1">
        <v>45555</v>
      </c>
      <c r="E337">
        <v>400</v>
      </c>
      <c r="F337">
        <v>0</v>
      </c>
    </row>
    <row r="338" spans="1:6">
      <c r="A338">
        <v>470</v>
      </c>
      <c r="B338" t="s">
        <v>882</v>
      </c>
      <c r="C338">
        <v>1</v>
      </c>
      <c r="D338" s="1">
        <v>45555</v>
      </c>
      <c r="E338">
        <v>58.92</v>
      </c>
      <c r="F338">
        <v>0</v>
      </c>
    </row>
    <row r="339" spans="1:6">
      <c r="A339">
        <v>313</v>
      </c>
      <c r="B339" t="s">
        <v>449</v>
      </c>
      <c r="C339">
        <v>1</v>
      </c>
      <c r="D339" s="1">
        <v>45559</v>
      </c>
      <c r="E339">
        <v>2.8</v>
      </c>
      <c r="F339">
        <v>0</v>
      </c>
    </row>
    <row r="340" spans="1:6">
      <c r="A340">
        <v>314</v>
      </c>
      <c r="B340" t="s">
        <v>803</v>
      </c>
      <c r="C340">
        <v>6</v>
      </c>
      <c r="D340" s="1">
        <v>45565</v>
      </c>
      <c r="E340">
        <v>53.95</v>
      </c>
      <c r="F340">
        <v>0</v>
      </c>
    </row>
    <row r="341" spans="1:6">
      <c r="A341">
        <v>315</v>
      </c>
      <c r="B341" t="s">
        <v>314</v>
      </c>
      <c r="C341">
        <v>1</v>
      </c>
      <c r="D341" s="1">
        <v>45565</v>
      </c>
      <c r="E341">
        <v>268.95999999999998</v>
      </c>
      <c r="F341">
        <v>0</v>
      </c>
    </row>
    <row r="342" spans="1:6">
      <c r="A342">
        <v>316</v>
      </c>
      <c r="B342" t="s">
        <v>829</v>
      </c>
      <c r="C342">
        <v>1</v>
      </c>
      <c r="D342" s="1">
        <v>45565</v>
      </c>
      <c r="E342">
        <v>304.5</v>
      </c>
      <c r="F342">
        <v>0</v>
      </c>
    </row>
    <row r="343" spans="1:6">
      <c r="A343">
        <v>317</v>
      </c>
      <c r="B343" t="s">
        <v>838</v>
      </c>
      <c r="C343">
        <v>1</v>
      </c>
      <c r="D343" s="1">
        <v>45565</v>
      </c>
      <c r="E343">
        <v>391</v>
      </c>
      <c r="F343">
        <v>0</v>
      </c>
    </row>
    <row r="344" spans="1:6">
      <c r="A344">
        <v>324</v>
      </c>
      <c r="B344" t="s">
        <v>468</v>
      </c>
      <c r="C344">
        <v>7</v>
      </c>
      <c r="D344" s="1">
        <v>45565</v>
      </c>
      <c r="E344">
        <v>7.95</v>
      </c>
      <c r="F344">
        <v>0</v>
      </c>
    </row>
    <row r="345" spans="1:6">
      <c r="A345">
        <v>325</v>
      </c>
      <c r="B345" t="s">
        <v>834</v>
      </c>
      <c r="C345">
        <v>1</v>
      </c>
      <c r="D345" s="1">
        <v>45565</v>
      </c>
      <c r="E345">
        <v>144</v>
      </c>
      <c r="F345">
        <v>0</v>
      </c>
    </row>
    <row r="346" spans="1:6">
      <c r="A346">
        <v>326</v>
      </c>
      <c r="B346" t="s">
        <v>879</v>
      </c>
      <c r="C346">
        <v>2</v>
      </c>
      <c r="D346" s="1">
        <v>45565</v>
      </c>
      <c r="E346">
        <v>22.36</v>
      </c>
      <c r="F346">
        <v>0</v>
      </c>
    </row>
    <row r="347" spans="1:6">
      <c r="A347">
        <v>327</v>
      </c>
      <c r="B347" t="s">
        <v>469</v>
      </c>
      <c r="C347">
        <v>5</v>
      </c>
      <c r="D347" s="1">
        <v>45565</v>
      </c>
      <c r="E347">
        <v>7.95</v>
      </c>
      <c r="F347">
        <v>0</v>
      </c>
    </row>
    <row r="348" spans="1:6">
      <c r="A348">
        <v>328</v>
      </c>
      <c r="B348" t="s">
        <v>772</v>
      </c>
      <c r="C348">
        <v>1</v>
      </c>
      <c r="D348" s="1">
        <v>45565</v>
      </c>
      <c r="E348">
        <v>34.69</v>
      </c>
      <c r="F348">
        <v>0</v>
      </c>
    </row>
    <row r="349" spans="1:6">
      <c r="A349">
        <v>329</v>
      </c>
      <c r="B349" t="s">
        <v>803</v>
      </c>
      <c r="C349">
        <v>1</v>
      </c>
      <c r="D349" s="1">
        <v>45565</v>
      </c>
      <c r="E349">
        <v>53.95</v>
      </c>
      <c r="F349">
        <v>0</v>
      </c>
    </row>
    <row r="350" spans="1:6">
      <c r="A350">
        <v>330</v>
      </c>
      <c r="B350" t="s">
        <v>820</v>
      </c>
      <c r="C350">
        <v>1</v>
      </c>
      <c r="D350" s="1">
        <v>45565</v>
      </c>
      <c r="E350">
        <v>73.5</v>
      </c>
      <c r="F350">
        <v>0</v>
      </c>
    </row>
    <row r="351" spans="1:6">
      <c r="A351">
        <v>331</v>
      </c>
      <c r="B351" t="s">
        <v>478</v>
      </c>
      <c r="C351">
        <v>1</v>
      </c>
      <c r="D351" s="1">
        <v>45565</v>
      </c>
      <c r="E351">
        <v>155.69999999999999</v>
      </c>
      <c r="F351">
        <v>0</v>
      </c>
    </row>
    <row r="352" spans="1:6">
      <c r="A352">
        <v>332</v>
      </c>
      <c r="B352" t="s">
        <v>793</v>
      </c>
      <c r="C352">
        <v>1</v>
      </c>
      <c r="D352" s="1">
        <v>45565</v>
      </c>
      <c r="E352">
        <v>119</v>
      </c>
      <c r="F352">
        <v>0</v>
      </c>
    </row>
    <row r="353" spans="1:6">
      <c r="A353">
        <v>333</v>
      </c>
      <c r="B353" t="s">
        <v>485</v>
      </c>
      <c r="C353">
        <v>1</v>
      </c>
      <c r="D353" s="1">
        <v>45565</v>
      </c>
      <c r="E353">
        <v>111.4</v>
      </c>
      <c r="F353">
        <v>0</v>
      </c>
    </row>
    <row r="354" spans="1:6">
      <c r="A354">
        <v>334</v>
      </c>
      <c r="B354" t="s">
        <v>489</v>
      </c>
      <c r="C354">
        <v>1</v>
      </c>
      <c r="D354" s="1">
        <v>45565</v>
      </c>
      <c r="E354">
        <v>697.62</v>
      </c>
      <c r="F354">
        <v>0</v>
      </c>
    </row>
    <row r="355" spans="1:6">
      <c r="A355">
        <v>335</v>
      </c>
      <c r="B355" t="s">
        <v>465</v>
      </c>
      <c r="C355">
        <v>1</v>
      </c>
      <c r="D355" s="1">
        <v>45565</v>
      </c>
      <c r="E355">
        <v>906.63</v>
      </c>
      <c r="F355">
        <v>0</v>
      </c>
    </row>
    <row r="356" spans="1:6">
      <c r="A356">
        <v>336</v>
      </c>
      <c r="B356" t="s">
        <v>822</v>
      </c>
      <c r="C356">
        <v>1</v>
      </c>
      <c r="D356" s="1">
        <v>45565</v>
      </c>
      <c r="E356">
        <v>124.25</v>
      </c>
      <c r="F356">
        <v>0</v>
      </c>
    </row>
    <row r="357" spans="1:6">
      <c r="A357">
        <v>337</v>
      </c>
      <c r="B357" t="s">
        <v>759</v>
      </c>
      <c r="C357">
        <v>1</v>
      </c>
      <c r="D357" s="1">
        <v>45565</v>
      </c>
      <c r="E357">
        <v>76.58</v>
      </c>
      <c r="F357">
        <v>0</v>
      </c>
    </row>
    <row r="358" spans="1:6">
      <c r="A358">
        <v>338</v>
      </c>
      <c r="B358" t="s">
        <v>820</v>
      </c>
      <c r="C358">
        <v>1</v>
      </c>
      <c r="D358" s="1">
        <v>45565</v>
      </c>
      <c r="E358">
        <v>73.5</v>
      </c>
      <c r="F358">
        <v>0</v>
      </c>
    </row>
    <row r="359" spans="1:6">
      <c r="A359">
        <v>339</v>
      </c>
      <c r="B359" t="s">
        <v>489</v>
      </c>
      <c r="C359">
        <v>1</v>
      </c>
      <c r="D359" s="1">
        <v>45565</v>
      </c>
      <c r="E359">
        <v>697.62</v>
      </c>
      <c r="F359">
        <v>0</v>
      </c>
    </row>
    <row r="360" spans="1:6">
      <c r="A360">
        <v>340</v>
      </c>
      <c r="B360" t="s">
        <v>424</v>
      </c>
      <c r="C360">
        <v>1</v>
      </c>
      <c r="D360" s="1">
        <v>45565</v>
      </c>
      <c r="E360">
        <v>560.78</v>
      </c>
      <c r="F360">
        <v>0</v>
      </c>
    </row>
    <row r="361" spans="1:6">
      <c r="A361">
        <v>341</v>
      </c>
      <c r="B361" t="s">
        <v>916</v>
      </c>
      <c r="C361">
        <v>1</v>
      </c>
      <c r="D361" s="1">
        <v>45565</v>
      </c>
      <c r="E361">
        <v>252.75</v>
      </c>
      <c r="F361">
        <v>0</v>
      </c>
    </row>
    <row r="362" spans="1:6">
      <c r="A362">
        <v>342</v>
      </c>
      <c r="B362" t="s">
        <v>912</v>
      </c>
      <c r="C362">
        <v>1</v>
      </c>
      <c r="D362" s="1">
        <v>45565</v>
      </c>
      <c r="E362">
        <v>500</v>
      </c>
      <c r="F362">
        <v>0</v>
      </c>
    </row>
    <row r="363" spans="1:6">
      <c r="A363">
        <v>343</v>
      </c>
      <c r="B363" t="s">
        <v>886</v>
      </c>
      <c r="C363">
        <v>10</v>
      </c>
      <c r="D363" s="1">
        <v>45565</v>
      </c>
      <c r="E363">
        <v>35.75</v>
      </c>
      <c r="F363">
        <v>0</v>
      </c>
    </row>
    <row r="364" spans="1:6">
      <c r="A364">
        <v>344</v>
      </c>
      <c r="B364" t="s">
        <v>810</v>
      </c>
      <c r="C364">
        <v>1</v>
      </c>
      <c r="D364" s="1">
        <v>45565</v>
      </c>
      <c r="E364">
        <v>27.1</v>
      </c>
      <c r="F364">
        <v>0</v>
      </c>
    </row>
    <row r="365" spans="1:6">
      <c r="A365">
        <v>345</v>
      </c>
      <c r="B365" t="s">
        <v>800</v>
      </c>
      <c r="C365">
        <v>11</v>
      </c>
      <c r="D365" s="1">
        <v>45565</v>
      </c>
      <c r="E365">
        <v>24.1</v>
      </c>
      <c r="F365">
        <v>0</v>
      </c>
    </row>
    <row r="366" spans="1:6">
      <c r="A366">
        <v>346</v>
      </c>
      <c r="B366" t="s">
        <v>882</v>
      </c>
      <c r="C366">
        <v>1</v>
      </c>
      <c r="D366" s="1">
        <v>45565</v>
      </c>
      <c r="E366">
        <v>58.92</v>
      </c>
      <c r="F366">
        <v>0</v>
      </c>
    </row>
    <row r="367" spans="1:6">
      <c r="A367">
        <v>347</v>
      </c>
      <c r="B367" t="s">
        <v>882</v>
      </c>
      <c r="C367">
        <v>1</v>
      </c>
      <c r="D367" s="1">
        <v>45565</v>
      </c>
      <c r="E367">
        <v>58.92</v>
      </c>
      <c r="F367">
        <v>0</v>
      </c>
    </row>
    <row r="368" spans="1:6">
      <c r="A368">
        <v>348</v>
      </c>
      <c r="B368" t="s">
        <v>827</v>
      </c>
      <c r="C368">
        <v>3</v>
      </c>
      <c r="D368" s="1">
        <v>45565</v>
      </c>
      <c r="E368">
        <v>31</v>
      </c>
      <c r="F368">
        <v>0</v>
      </c>
    </row>
    <row r="369" spans="1:6">
      <c r="A369">
        <v>349</v>
      </c>
      <c r="B369" t="s">
        <v>471</v>
      </c>
      <c r="C369">
        <v>1</v>
      </c>
      <c r="D369" s="1">
        <v>45565</v>
      </c>
      <c r="E369">
        <v>316.44</v>
      </c>
      <c r="F369">
        <v>0</v>
      </c>
    </row>
    <row r="370" spans="1:6">
      <c r="A370">
        <v>352</v>
      </c>
      <c r="B370" t="s">
        <v>886</v>
      </c>
      <c r="C370">
        <v>1</v>
      </c>
      <c r="D370" s="1">
        <v>45565</v>
      </c>
      <c r="E370">
        <v>35.75</v>
      </c>
      <c r="F370">
        <v>0</v>
      </c>
    </row>
    <row r="371" spans="1:6">
      <c r="A371">
        <v>355</v>
      </c>
      <c r="B371" t="s">
        <v>424</v>
      </c>
      <c r="C371">
        <v>1</v>
      </c>
      <c r="D371" s="1">
        <v>45565</v>
      </c>
      <c r="E371">
        <v>560.78</v>
      </c>
      <c r="F371">
        <v>0</v>
      </c>
    </row>
    <row r="372" spans="1:6">
      <c r="A372">
        <v>356</v>
      </c>
      <c r="B372" t="s">
        <v>469</v>
      </c>
      <c r="C372">
        <v>1</v>
      </c>
      <c r="D372" s="1">
        <v>45566</v>
      </c>
      <c r="E372">
        <v>7.95</v>
      </c>
      <c r="F372">
        <v>0</v>
      </c>
    </row>
    <row r="373" spans="1:6">
      <c r="A373">
        <v>357</v>
      </c>
      <c r="B373" t="s">
        <v>471</v>
      </c>
      <c r="C373">
        <v>-2</v>
      </c>
      <c r="D373" s="1">
        <v>45566</v>
      </c>
      <c r="E373">
        <v>316.44</v>
      </c>
      <c r="F373">
        <v>0</v>
      </c>
    </row>
    <row r="374" spans="1:6">
      <c r="A374">
        <v>358</v>
      </c>
      <c r="B374" t="s">
        <v>837</v>
      </c>
      <c r="C374">
        <v>1</v>
      </c>
      <c r="D374" s="1">
        <v>45566</v>
      </c>
      <c r="E374">
        <v>393</v>
      </c>
      <c r="F374">
        <v>0</v>
      </c>
    </row>
    <row r="375" spans="1:6">
      <c r="A375">
        <v>359</v>
      </c>
      <c r="B375" t="s">
        <v>803</v>
      </c>
      <c r="C375">
        <v>1</v>
      </c>
      <c r="D375" s="1">
        <v>45567</v>
      </c>
      <c r="E375">
        <v>53.95</v>
      </c>
      <c r="F375">
        <v>0</v>
      </c>
    </row>
    <row r="376" spans="1:6">
      <c r="A376">
        <v>360</v>
      </c>
      <c r="B376" t="s">
        <v>886</v>
      </c>
      <c r="C376">
        <v>1</v>
      </c>
      <c r="D376" s="1">
        <v>45567</v>
      </c>
      <c r="E376">
        <v>35.75</v>
      </c>
      <c r="F376">
        <v>0</v>
      </c>
    </row>
    <row r="377" spans="1:6">
      <c r="A377">
        <v>444</v>
      </c>
      <c r="B377" t="s">
        <v>471</v>
      </c>
      <c r="C377">
        <v>1</v>
      </c>
      <c r="D377" s="1">
        <v>45567</v>
      </c>
      <c r="E377">
        <v>316.44</v>
      </c>
      <c r="F377">
        <v>0</v>
      </c>
    </row>
    <row r="378" spans="1:6">
      <c r="A378">
        <v>361</v>
      </c>
      <c r="B378" t="s">
        <v>469</v>
      </c>
      <c r="C378">
        <v>1</v>
      </c>
      <c r="D378" s="1">
        <v>45568</v>
      </c>
      <c r="E378">
        <v>7.95</v>
      </c>
      <c r="F378">
        <v>0</v>
      </c>
    </row>
    <row r="379" spans="1:6">
      <c r="A379">
        <v>362</v>
      </c>
      <c r="B379" t="s">
        <v>795</v>
      </c>
      <c r="C379">
        <v>1</v>
      </c>
      <c r="D379" s="1">
        <v>45568</v>
      </c>
      <c r="E379">
        <v>776.9</v>
      </c>
      <c r="F379">
        <v>0</v>
      </c>
    </row>
    <row r="380" spans="1:6">
      <c r="A380">
        <v>363</v>
      </c>
      <c r="B380" t="s">
        <v>944</v>
      </c>
      <c r="C380">
        <v>1</v>
      </c>
      <c r="D380" s="1">
        <v>45568</v>
      </c>
      <c r="E380">
        <v>552</v>
      </c>
      <c r="F380">
        <v>0</v>
      </c>
    </row>
    <row r="381" spans="1:6">
      <c r="A381">
        <v>364</v>
      </c>
      <c r="B381" t="s">
        <v>886</v>
      </c>
      <c r="C381">
        <v>2</v>
      </c>
      <c r="D381" s="1">
        <v>45572</v>
      </c>
      <c r="E381">
        <v>35.75</v>
      </c>
      <c r="F381">
        <v>0</v>
      </c>
    </row>
    <row r="382" spans="1:6">
      <c r="A382">
        <v>365</v>
      </c>
      <c r="B382" t="s">
        <v>800</v>
      </c>
      <c r="C382">
        <v>1</v>
      </c>
      <c r="D382" s="1">
        <v>45572</v>
      </c>
      <c r="E382">
        <v>24.1</v>
      </c>
      <c r="F382">
        <v>0</v>
      </c>
    </row>
    <row r="383" spans="1:6">
      <c r="A383">
        <v>366</v>
      </c>
      <c r="B383" t="s">
        <v>468</v>
      </c>
      <c r="C383">
        <v>2</v>
      </c>
      <c r="D383" s="1">
        <v>45574</v>
      </c>
      <c r="E383">
        <v>7.95</v>
      </c>
      <c r="F383">
        <v>0</v>
      </c>
    </row>
    <row r="384" spans="1:6">
      <c r="A384">
        <v>367</v>
      </c>
      <c r="B384" t="s">
        <v>500</v>
      </c>
      <c r="C384">
        <v>1</v>
      </c>
      <c r="D384" s="1">
        <v>45574</v>
      </c>
      <c r="E384">
        <v>12</v>
      </c>
      <c r="F384">
        <v>0</v>
      </c>
    </row>
    <row r="385" spans="1:6">
      <c r="A385">
        <v>368</v>
      </c>
      <c r="B385" t="s">
        <v>449</v>
      </c>
      <c r="C385">
        <v>2</v>
      </c>
      <c r="D385" s="1">
        <v>45574</v>
      </c>
      <c r="E385">
        <v>2.8</v>
      </c>
      <c r="F385">
        <v>0</v>
      </c>
    </row>
    <row r="386" spans="1:6">
      <c r="A386">
        <v>369</v>
      </c>
      <c r="B386" t="s">
        <v>803</v>
      </c>
      <c r="C386">
        <v>2</v>
      </c>
      <c r="D386" s="1">
        <v>45574</v>
      </c>
      <c r="E386">
        <v>53.95</v>
      </c>
      <c r="F386">
        <v>0</v>
      </c>
    </row>
    <row r="387" spans="1:6">
      <c r="A387">
        <v>370</v>
      </c>
      <c r="B387" t="s">
        <v>803</v>
      </c>
      <c r="C387">
        <v>1</v>
      </c>
      <c r="D387" s="1">
        <v>45575</v>
      </c>
      <c r="E387">
        <v>53.95</v>
      </c>
      <c r="F387">
        <v>0</v>
      </c>
    </row>
    <row r="388" spans="1:6">
      <c r="A388">
        <v>371</v>
      </c>
      <c r="B388" t="s">
        <v>803</v>
      </c>
      <c r="C388">
        <v>1</v>
      </c>
      <c r="D388" s="1">
        <v>45581</v>
      </c>
      <c r="E388">
        <v>53.95</v>
      </c>
      <c r="F388">
        <v>0</v>
      </c>
    </row>
    <row r="389" spans="1:6">
      <c r="A389">
        <v>372</v>
      </c>
      <c r="B389" t="s">
        <v>469</v>
      </c>
      <c r="C389">
        <v>1</v>
      </c>
      <c r="D389" s="1">
        <v>45581</v>
      </c>
      <c r="E389">
        <v>7.95</v>
      </c>
      <c r="F389">
        <v>0</v>
      </c>
    </row>
    <row r="390" spans="1:6">
      <c r="A390">
        <v>373</v>
      </c>
      <c r="B390" t="s">
        <v>477</v>
      </c>
      <c r="C390">
        <v>1</v>
      </c>
      <c r="D390" s="1">
        <v>45581</v>
      </c>
      <c r="E390">
        <v>3.38</v>
      </c>
      <c r="F390">
        <v>0</v>
      </c>
    </row>
    <row r="391" spans="1:6">
      <c r="A391">
        <v>374</v>
      </c>
      <c r="B391" t="s">
        <v>803</v>
      </c>
      <c r="C391">
        <v>1</v>
      </c>
      <c r="D391" s="1">
        <v>45582</v>
      </c>
      <c r="E391">
        <v>53.95</v>
      </c>
      <c r="F391">
        <v>0</v>
      </c>
    </row>
    <row r="392" spans="1:6">
      <c r="A392">
        <v>375</v>
      </c>
      <c r="B392" t="s">
        <v>330</v>
      </c>
      <c r="C392">
        <v>1</v>
      </c>
      <c r="D392" s="1">
        <v>45582</v>
      </c>
      <c r="E392">
        <v>733.5</v>
      </c>
      <c r="F392">
        <v>0</v>
      </c>
    </row>
    <row r="393" spans="1:6">
      <c r="A393">
        <v>376</v>
      </c>
      <c r="B393" t="s">
        <v>800</v>
      </c>
      <c r="C393">
        <v>3</v>
      </c>
      <c r="D393" s="1">
        <v>45583</v>
      </c>
      <c r="E393">
        <v>24.1</v>
      </c>
      <c r="F393">
        <v>0</v>
      </c>
    </row>
    <row r="394" spans="1:6">
      <c r="A394">
        <v>377</v>
      </c>
      <c r="B394" t="s">
        <v>886</v>
      </c>
      <c r="C394">
        <v>3</v>
      </c>
      <c r="D394" s="1">
        <v>45583</v>
      </c>
      <c r="E394">
        <v>35.75</v>
      </c>
      <c r="F394">
        <v>0</v>
      </c>
    </row>
    <row r="395" spans="1:6">
      <c r="A395">
        <v>378</v>
      </c>
      <c r="B395" t="s">
        <v>820</v>
      </c>
      <c r="C395">
        <v>1</v>
      </c>
      <c r="D395" s="1">
        <v>45586</v>
      </c>
      <c r="E395">
        <v>73.5</v>
      </c>
      <c r="F395">
        <v>0</v>
      </c>
    </row>
    <row r="396" spans="1:6">
      <c r="A396">
        <v>395</v>
      </c>
      <c r="B396" t="s">
        <v>424</v>
      </c>
      <c r="C396">
        <v>1</v>
      </c>
      <c r="D396" s="1">
        <v>45587</v>
      </c>
      <c r="E396">
        <v>560.78</v>
      </c>
      <c r="F396">
        <v>0</v>
      </c>
    </row>
    <row r="397" spans="1:6">
      <c r="A397">
        <v>465</v>
      </c>
      <c r="B397" t="s">
        <v>976</v>
      </c>
      <c r="C397">
        <v>1</v>
      </c>
      <c r="D397" s="1">
        <v>45587</v>
      </c>
      <c r="E397">
        <v>166.18</v>
      </c>
      <c r="F397">
        <v>0</v>
      </c>
    </row>
    <row r="398" spans="1:6">
      <c r="A398">
        <v>379</v>
      </c>
      <c r="B398" t="s">
        <v>800</v>
      </c>
      <c r="C398">
        <v>1</v>
      </c>
      <c r="D398" s="1">
        <v>45588</v>
      </c>
      <c r="E398">
        <v>24.1</v>
      </c>
      <c r="F398">
        <v>0</v>
      </c>
    </row>
    <row r="399" spans="1:6">
      <c r="A399">
        <v>380</v>
      </c>
      <c r="B399" t="s">
        <v>800</v>
      </c>
      <c r="C399">
        <v>3</v>
      </c>
      <c r="D399" s="1">
        <v>45588</v>
      </c>
      <c r="E399">
        <v>24.1</v>
      </c>
      <c r="F399">
        <v>0</v>
      </c>
    </row>
    <row r="400" spans="1:6">
      <c r="A400">
        <v>381</v>
      </c>
      <c r="B400" t="s">
        <v>886</v>
      </c>
      <c r="C400">
        <v>2</v>
      </c>
      <c r="D400" s="1">
        <v>45588</v>
      </c>
      <c r="E400">
        <v>35.75</v>
      </c>
      <c r="F400">
        <v>0</v>
      </c>
    </row>
    <row r="401" spans="1:6">
      <c r="A401">
        <v>382</v>
      </c>
      <c r="B401" t="s">
        <v>886</v>
      </c>
      <c r="C401">
        <v>2</v>
      </c>
      <c r="D401" s="1">
        <v>45588</v>
      </c>
      <c r="E401">
        <v>35.75</v>
      </c>
      <c r="F401">
        <v>0</v>
      </c>
    </row>
    <row r="402" spans="1:6">
      <c r="A402">
        <v>383</v>
      </c>
      <c r="B402" t="s">
        <v>886</v>
      </c>
      <c r="C402">
        <v>0</v>
      </c>
      <c r="D402" s="1">
        <v>45588</v>
      </c>
      <c r="E402">
        <v>35.75</v>
      </c>
      <c r="F402">
        <v>0</v>
      </c>
    </row>
    <row r="403" spans="1:6">
      <c r="A403">
        <v>384</v>
      </c>
      <c r="B403" t="s">
        <v>896</v>
      </c>
      <c r="C403">
        <v>1</v>
      </c>
      <c r="D403" s="1">
        <v>45588</v>
      </c>
      <c r="E403">
        <v>211.18</v>
      </c>
      <c r="F403">
        <v>0</v>
      </c>
    </row>
    <row r="404" spans="1:6">
      <c r="A404">
        <v>385</v>
      </c>
      <c r="B404" t="s">
        <v>803</v>
      </c>
      <c r="C404">
        <v>2</v>
      </c>
      <c r="D404" s="1">
        <v>45589</v>
      </c>
      <c r="E404">
        <v>53.95</v>
      </c>
      <c r="F404">
        <v>0</v>
      </c>
    </row>
    <row r="405" spans="1:6">
      <c r="A405">
        <v>386</v>
      </c>
      <c r="B405" t="s">
        <v>821</v>
      </c>
      <c r="C405">
        <v>1</v>
      </c>
      <c r="D405" s="1">
        <v>45589</v>
      </c>
      <c r="E405">
        <v>119</v>
      </c>
      <c r="F405">
        <v>0</v>
      </c>
    </row>
    <row r="406" spans="1:6">
      <c r="A406">
        <v>387</v>
      </c>
      <c r="B406" t="s">
        <v>478</v>
      </c>
      <c r="C406">
        <v>1</v>
      </c>
      <c r="D406" s="1">
        <v>45589</v>
      </c>
      <c r="E406">
        <v>155.69999999999999</v>
      </c>
      <c r="F406">
        <v>0</v>
      </c>
    </row>
    <row r="407" spans="1:6">
      <c r="A407">
        <v>388</v>
      </c>
      <c r="B407" t="s">
        <v>471</v>
      </c>
      <c r="C407">
        <v>1</v>
      </c>
      <c r="D407" s="1">
        <v>45589</v>
      </c>
      <c r="E407">
        <v>316.44</v>
      </c>
      <c r="F407">
        <v>0</v>
      </c>
    </row>
    <row r="408" spans="1:6">
      <c r="A408">
        <v>389</v>
      </c>
      <c r="B408" t="s">
        <v>886</v>
      </c>
      <c r="C408">
        <v>1</v>
      </c>
      <c r="D408" s="1">
        <v>45589</v>
      </c>
      <c r="E408">
        <v>35.75</v>
      </c>
      <c r="F408">
        <v>0</v>
      </c>
    </row>
    <row r="409" spans="1:6">
      <c r="A409">
        <v>390</v>
      </c>
      <c r="B409" t="s">
        <v>800</v>
      </c>
      <c r="C409">
        <v>1</v>
      </c>
      <c r="D409" s="1">
        <v>45589</v>
      </c>
      <c r="E409">
        <v>24.1</v>
      </c>
      <c r="F409">
        <v>0</v>
      </c>
    </row>
    <row r="410" spans="1:6">
      <c r="A410">
        <v>391</v>
      </c>
      <c r="B410" t="s">
        <v>803</v>
      </c>
      <c r="C410">
        <v>1</v>
      </c>
      <c r="D410" s="1">
        <v>45589</v>
      </c>
      <c r="E410">
        <v>53.95</v>
      </c>
      <c r="F410">
        <v>0</v>
      </c>
    </row>
    <row r="411" spans="1:6">
      <c r="A411">
        <v>392</v>
      </c>
      <c r="B411" t="s">
        <v>468</v>
      </c>
      <c r="C411">
        <v>1</v>
      </c>
      <c r="D411" s="1">
        <v>45589</v>
      </c>
      <c r="E411">
        <v>7.95</v>
      </c>
      <c r="F411">
        <v>0</v>
      </c>
    </row>
    <row r="412" spans="1:6">
      <c r="A412">
        <v>393</v>
      </c>
      <c r="B412" t="s">
        <v>449</v>
      </c>
      <c r="C412">
        <v>1</v>
      </c>
      <c r="D412" s="1">
        <v>45589</v>
      </c>
      <c r="E412">
        <v>2.8</v>
      </c>
      <c r="F412">
        <v>0</v>
      </c>
    </row>
    <row r="413" spans="1:6">
      <c r="A413">
        <v>394</v>
      </c>
      <c r="B413" t="s">
        <v>479</v>
      </c>
      <c r="C413">
        <v>2</v>
      </c>
      <c r="D413" s="1">
        <v>45589</v>
      </c>
      <c r="E413">
        <v>2.9</v>
      </c>
      <c r="F413">
        <v>0</v>
      </c>
    </row>
    <row r="414" spans="1:6">
      <c r="A414">
        <v>396</v>
      </c>
      <c r="B414" t="s">
        <v>327</v>
      </c>
      <c r="C414">
        <v>1</v>
      </c>
      <c r="D414" s="1">
        <v>45590</v>
      </c>
      <c r="E414">
        <v>547.4</v>
      </c>
      <c r="F414">
        <v>0</v>
      </c>
    </row>
    <row r="415" spans="1:6">
      <c r="A415">
        <v>397</v>
      </c>
      <c r="B415" t="s">
        <v>803</v>
      </c>
      <c r="C415">
        <v>1</v>
      </c>
      <c r="D415" s="1">
        <v>45590</v>
      </c>
      <c r="E415">
        <v>53.95</v>
      </c>
      <c r="F415">
        <v>0</v>
      </c>
    </row>
    <row r="416" spans="1:6">
      <c r="A416">
        <v>398</v>
      </c>
      <c r="B416" t="s">
        <v>886</v>
      </c>
      <c r="C416">
        <v>1</v>
      </c>
      <c r="D416" s="1">
        <v>45590</v>
      </c>
      <c r="E416">
        <v>35.75</v>
      </c>
      <c r="F416">
        <v>0</v>
      </c>
    </row>
    <row r="417" spans="1:6">
      <c r="A417">
        <v>399</v>
      </c>
      <c r="B417" t="s">
        <v>800</v>
      </c>
      <c r="C417">
        <v>1</v>
      </c>
      <c r="D417" s="1">
        <v>45590</v>
      </c>
      <c r="E417">
        <v>24.1</v>
      </c>
      <c r="F417">
        <v>0</v>
      </c>
    </row>
    <row r="418" spans="1:6">
      <c r="A418">
        <v>400</v>
      </c>
      <c r="B418" t="s">
        <v>839</v>
      </c>
      <c r="C418">
        <v>1</v>
      </c>
      <c r="D418" s="1">
        <v>45593</v>
      </c>
      <c r="E418">
        <v>28.5</v>
      </c>
      <c r="F418">
        <v>0</v>
      </c>
    </row>
    <row r="419" spans="1:6">
      <c r="A419">
        <v>445</v>
      </c>
      <c r="B419" t="s">
        <v>471</v>
      </c>
      <c r="C419">
        <v>1</v>
      </c>
      <c r="D419" s="1">
        <v>45593</v>
      </c>
      <c r="E419">
        <v>316.44</v>
      </c>
      <c r="F419">
        <v>0</v>
      </c>
    </row>
    <row r="420" spans="1:6">
      <c r="A420">
        <v>401</v>
      </c>
      <c r="B420" t="s">
        <v>455</v>
      </c>
      <c r="C420">
        <v>1</v>
      </c>
      <c r="D420" s="1">
        <v>45594</v>
      </c>
      <c r="E420">
        <v>80</v>
      </c>
      <c r="F420">
        <v>0</v>
      </c>
    </row>
    <row r="421" spans="1:6">
      <c r="A421">
        <v>402</v>
      </c>
      <c r="B421" t="s">
        <v>800</v>
      </c>
      <c r="C421">
        <v>1</v>
      </c>
      <c r="D421" s="1">
        <v>45594</v>
      </c>
      <c r="E421">
        <v>24.1</v>
      </c>
      <c r="F421">
        <v>0</v>
      </c>
    </row>
    <row r="422" spans="1:6">
      <c r="A422">
        <v>403</v>
      </c>
      <c r="B422" t="s">
        <v>886</v>
      </c>
      <c r="C422">
        <v>1</v>
      </c>
      <c r="D422" s="1">
        <v>45594</v>
      </c>
      <c r="E422">
        <v>35.75</v>
      </c>
      <c r="F422">
        <v>0</v>
      </c>
    </row>
    <row r="423" spans="1:6">
      <c r="A423">
        <v>404</v>
      </c>
      <c r="B423" t="s">
        <v>838</v>
      </c>
      <c r="C423">
        <v>1</v>
      </c>
      <c r="D423" s="1">
        <v>45595</v>
      </c>
      <c r="E423">
        <v>391</v>
      </c>
      <c r="F423">
        <v>0</v>
      </c>
    </row>
    <row r="424" spans="1:6">
      <c r="A424">
        <v>405</v>
      </c>
      <c r="B424" t="s">
        <v>803</v>
      </c>
      <c r="C424">
        <v>1</v>
      </c>
      <c r="D424" s="1">
        <v>45595</v>
      </c>
      <c r="E424">
        <v>53.95</v>
      </c>
      <c r="F424">
        <v>0</v>
      </c>
    </row>
    <row r="425" spans="1:6">
      <c r="A425">
        <v>406</v>
      </c>
      <c r="B425" t="s">
        <v>800</v>
      </c>
      <c r="C425">
        <v>1</v>
      </c>
      <c r="D425" s="1">
        <v>45595</v>
      </c>
      <c r="E425">
        <v>24.1</v>
      </c>
      <c r="F425">
        <v>0</v>
      </c>
    </row>
    <row r="426" spans="1:6">
      <c r="A426">
        <v>407</v>
      </c>
      <c r="B426" t="s">
        <v>886</v>
      </c>
      <c r="C426">
        <v>1</v>
      </c>
      <c r="D426" s="1">
        <v>45595</v>
      </c>
      <c r="E426">
        <v>35.75</v>
      </c>
      <c r="F426">
        <v>0</v>
      </c>
    </row>
    <row r="427" spans="1:6">
      <c r="A427">
        <v>408</v>
      </c>
      <c r="B427" t="s">
        <v>800</v>
      </c>
      <c r="C427">
        <v>1</v>
      </c>
      <c r="D427" s="1">
        <v>45596</v>
      </c>
      <c r="E427">
        <v>24.1</v>
      </c>
      <c r="F427">
        <v>0</v>
      </c>
    </row>
    <row r="428" spans="1:6">
      <c r="A428">
        <v>409</v>
      </c>
      <c r="B428" t="s">
        <v>468</v>
      </c>
      <c r="C428">
        <v>4</v>
      </c>
      <c r="D428" s="1">
        <v>45597</v>
      </c>
      <c r="E428">
        <v>7.95</v>
      </c>
      <c r="F428">
        <v>0</v>
      </c>
    </row>
    <row r="429" spans="1:6">
      <c r="A429">
        <v>410</v>
      </c>
      <c r="B429" t="s">
        <v>468</v>
      </c>
      <c r="C429">
        <v>1</v>
      </c>
      <c r="D429" s="1">
        <v>45597</v>
      </c>
      <c r="E429">
        <v>7.95</v>
      </c>
      <c r="F429">
        <v>0</v>
      </c>
    </row>
    <row r="430" spans="1:6">
      <c r="A430">
        <v>411</v>
      </c>
      <c r="B430" t="s">
        <v>468</v>
      </c>
      <c r="C430">
        <v>1</v>
      </c>
      <c r="D430" s="1">
        <v>45597</v>
      </c>
      <c r="E430">
        <v>7.95</v>
      </c>
      <c r="F430">
        <v>0</v>
      </c>
    </row>
    <row r="431" spans="1:6">
      <c r="A431">
        <v>412</v>
      </c>
      <c r="B431" t="s">
        <v>803</v>
      </c>
      <c r="C431">
        <v>1</v>
      </c>
      <c r="D431" s="1">
        <v>45600</v>
      </c>
      <c r="E431">
        <v>53.95</v>
      </c>
      <c r="F431">
        <v>0</v>
      </c>
    </row>
    <row r="432" spans="1:6">
      <c r="A432">
        <v>413</v>
      </c>
      <c r="B432" t="s">
        <v>886</v>
      </c>
      <c r="C432">
        <v>1</v>
      </c>
      <c r="D432" s="1">
        <v>45600</v>
      </c>
      <c r="E432">
        <v>35.75</v>
      </c>
      <c r="F432">
        <v>0</v>
      </c>
    </row>
    <row r="433" spans="1:6">
      <c r="A433">
        <v>414</v>
      </c>
      <c r="B433" t="s">
        <v>482</v>
      </c>
      <c r="C433">
        <v>2</v>
      </c>
      <c r="D433" s="1">
        <v>45600</v>
      </c>
      <c r="E433">
        <v>25</v>
      </c>
      <c r="F433">
        <v>0</v>
      </c>
    </row>
    <row r="434" spans="1:6">
      <c r="A434">
        <v>415</v>
      </c>
      <c r="B434" t="s">
        <v>449</v>
      </c>
      <c r="C434">
        <v>2</v>
      </c>
      <c r="D434" s="1">
        <v>45600</v>
      </c>
      <c r="E434">
        <v>2.8</v>
      </c>
      <c r="F434">
        <v>0</v>
      </c>
    </row>
    <row r="435" spans="1:6">
      <c r="A435">
        <v>416</v>
      </c>
      <c r="B435" t="s">
        <v>461</v>
      </c>
      <c r="C435">
        <v>1</v>
      </c>
      <c r="D435" s="1">
        <v>45601</v>
      </c>
      <c r="E435">
        <v>74.06</v>
      </c>
      <c r="F435">
        <v>0</v>
      </c>
    </row>
    <row r="436" spans="1:6">
      <c r="A436">
        <v>417</v>
      </c>
      <c r="B436" t="s">
        <v>500</v>
      </c>
      <c r="C436">
        <v>1</v>
      </c>
      <c r="D436" s="1">
        <v>45602</v>
      </c>
      <c r="E436">
        <v>12</v>
      </c>
      <c r="F436">
        <v>0</v>
      </c>
    </row>
    <row r="437" spans="1:6">
      <c r="A437">
        <v>418</v>
      </c>
      <c r="B437" t="s">
        <v>803</v>
      </c>
      <c r="C437">
        <v>1</v>
      </c>
      <c r="D437" s="1">
        <v>45603</v>
      </c>
      <c r="E437">
        <v>53.95</v>
      </c>
      <c r="F437">
        <v>0</v>
      </c>
    </row>
    <row r="438" spans="1:6">
      <c r="A438">
        <v>419</v>
      </c>
      <c r="B438" t="s">
        <v>800</v>
      </c>
      <c r="C438">
        <v>2</v>
      </c>
      <c r="D438" s="1">
        <v>45603</v>
      </c>
      <c r="E438">
        <v>24.1</v>
      </c>
      <c r="F438">
        <v>0</v>
      </c>
    </row>
    <row r="439" spans="1:6">
      <c r="A439">
        <v>420</v>
      </c>
      <c r="B439" t="s">
        <v>759</v>
      </c>
      <c r="C439">
        <v>1</v>
      </c>
      <c r="D439" s="1">
        <v>45604</v>
      </c>
      <c r="E439">
        <v>76.58</v>
      </c>
      <c r="F439">
        <v>0</v>
      </c>
    </row>
    <row r="440" spans="1:6">
      <c r="A440">
        <v>421</v>
      </c>
      <c r="B440" t="s">
        <v>800</v>
      </c>
      <c r="C440">
        <v>1</v>
      </c>
      <c r="D440" s="1">
        <v>45608</v>
      </c>
      <c r="E440">
        <v>24.1</v>
      </c>
      <c r="F440">
        <v>0</v>
      </c>
    </row>
    <row r="441" spans="1:6">
      <c r="A441">
        <v>422</v>
      </c>
      <c r="B441" t="s">
        <v>803</v>
      </c>
      <c r="C441">
        <v>3</v>
      </c>
      <c r="D441" s="1">
        <v>45614</v>
      </c>
      <c r="E441">
        <v>53.95</v>
      </c>
      <c r="F441">
        <v>0</v>
      </c>
    </row>
    <row r="442" spans="1:6">
      <c r="A442">
        <v>440</v>
      </c>
      <c r="B442" t="s">
        <v>471</v>
      </c>
      <c r="C442">
        <v>1</v>
      </c>
      <c r="D442" s="1">
        <v>45615</v>
      </c>
      <c r="E442">
        <v>316.44</v>
      </c>
      <c r="F442">
        <v>0</v>
      </c>
    </row>
    <row r="443" spans="1:6">
      <c r="A443">
        <v>442</v>
      </c>
      <c r="B443" t="s">
        <v>471</v>
      </c>
      <c r="C443">
        <v>1</v>
      </c>
      <c r="D443" s="1">
        <v>45615</v>
      </c>
      <c r="E443">
        <v>316.44</v>
      </c>
      <c r="F443">
        <v>0</v>
      </c>
    </row>
    <row r="444" spans="1:6">
      <c r="A444">
        <v>447</v>
      </c>
      <c r="B444" t="s">
        <v>471</v>
      </c>
      <c r="C444">
        <v>1</v>
      </c>
      <c r="D444" s="1">
        <v>45615</v>
      </c>
      <c r="E444">
        <v>316.44</v>
      </c>
      <c r="F444">
        <v>0</v>
      </c>
    </row>
    <row r="445" spans="1:6">
      <c r="A445">
        <v>423</v>
      </c>
      <c r="B445" t="s">
        <v>819</v>
      </c>
      <c r="C445">
        <v>1</v>
      </c>
      <c r="D445" s="1">
        <v>45616</v>
      </c>
      <c r="E445">
        <v>120</v>
      </c>
      <c r="F445">
        <v>0</v>
      </c>
    </row>
    <row r="446" spans="1:6">
      <c r="A446">
        <v>453</v>
      </c>
      <c r="B446" t="s">
        <v>791</v>
      </c>
      <c r="C446">
        <v>1</v>
      </c>
      <c r="D446" s="1">
        <v>45617</v>
      </c>
      <c r="E446">
        <v>413.32</v>
      </c>
      <c r="F446">
        <v>0</v>
      </c>
    </row>
    <row r="447" spans="1:6">
      <c r="A447">
        <v>424</v>
      </c>
      <c r="B447" t="s">
        <v>838</v>
      </c>
      <c r="C447">
        <v>1</v>
      </c>
      <c r="D447" s="1">
        <v>45618</v>
      </c>
      <c r="E447">
        <v>391</v>
      </c>
      <c r="F447">
        <v>0</v>
      </c>
    </row>
    <row r="448" spans="1:6">
      <c r="A448">
        <v>454</v>
      </c>
      <c r="B448" t="s">
        <v>838</v>
      </c>
      <c r="C448">
        <v>1</v>
      </c>
      <c r="D448" s="1">
        <v>45621</v>
      </c>
      <c r="E448">
        <v>391</v>
      </c>
      <c r="F448">
        <v>0</v>
      </c>
    </row>
    <row r="449" spans="1:6">
      <c r="A449">
        <v>425</v>
      </c>
      <c r="B449" t="s">
        <v>803</v>
      </c>
      <c r="C449">
        <v>1</v>
      </c>
      <c r="D449" s="1">
        <v>45622</v>
      </c>
      <c r="E449">
        <v>53.95</v>
      </c>
      <c r="F449">
        <v>0</v>
      </c>
    </row>
    <row r="450" spans="1:6">
      <c r="A450">
        <v>426</v>
      </c>
      <c r="B450" t="s">
        <v>803</v>
      </c>
      <c r="C450">
        <v>1</v>
      </c>
      <c r="D450" s="1">
        <v>45622</v>
      </c>
      <c r="E450">
        <v>53.95</v>
      </c>
      <c r="F450">
        <v>0</v>
      </c>
    </row>
    <row r="451" spans="1:6">
      <c r="A451">
        <v>427</v>
      </c>
      <c r="B451" t="s">
        <v>804</v>
      </c>
      <c r="C451">
        <v>1</v>
      </c>
      <c r="D451" s="1">
        <v>45623</v>
      </c>
      <c r="E451">
        <v>28.95</v>
      </c>
      <c r="F451">
        <v>0</v>
      </c>
    </row>
    <row r="452" spans="1:6">
      <c r="A452">
        <v>428</v>
      </c>
      <c r="B452" t="s">
        <v>886</v>
      </c>
      <c r="C452">
        <v>1</v>
      </c>
      <c r="D452" s="1">
        <v>45623</v>
      </c>
      <c r="E452">
        <v>35.75</v>
      </c>
      <c r="F452">
        <v>0</v>
      </c>
    </row>
    <row r="453" spans="1:6">
      <c r="A453">
        <v>429</v>
      </c>
      <c r="B453" t="s">
        <v>800</v>
      </c>
      <c r="C453">
        <v>1</v>
      </c>
      <c r="D453" s="1">
        <v>45623</v>
      </c>
      <c r="E453">
        <v>24.1</v>
      </c>
      <c r="F453">
        <v>0</v>
      </c>
    </row>
    <row r="454" spans="1:6">
      <c r="A454">
        <v>430</v>
      </c>
      <c r="B454" t="s">
        <v>800</v>
      </c>
      <c r="C454">
        <v>5</v>
      </c>
      <c r="D454" s="1">
        <v>45623</v>
      </c>
      <c r="E454">
        <v>24.1</v>
      </c>
      <c r="F454">
        <v>0</v>
      </c>
    </row>
    <row r="455" spans="1:6">
      <c r="A455">
        <v>431</v>
      </c>
      <c r="B455" t="s">
        <v>468</v>
      </c>
      <c r="C455">
        <v>1</v>
      </c>
      <c r="D455" s="1">
        <v>45623</v>
      </c>
      <c r="E455">
        <v>7.95</v>
      </c>
      <c r="F455">
        <v>0</v>
      </c>
    </row>
    <row r="456" spans="1:6">
      <c r="A456">
        <v>432</v>
      </c>
      <c r="B456" t="s">
        <v>968</v>
      </c>
      <c r="C456">
        <v>1</v>
      </c>
      <c r="D456" s="1">
        <v>45623</v>
      </c>
      <c r="E456">
        <v>4.79</v>
      </c>
      <c r="F456">
        <v>0</v>
      </c>
    </row>
    <row r="457" spans="1:6">
      <c r="A457">
        <v>433</v>
      </c>
      <c r="B457" t="s">
        <v>968</v>
      </c>
      <c r="C457">
        <v>1</v>
      </c>
      <c r="D457" s="1">
        <v>45623</v>
      </c>
      <c r="E457">
        <v>4.79</v>
      </c>
      <c r="F457">
        <v>0</v>
      </c>
    </row>
    <row r="458" spans="1:6">
      <c r="A458">
        <v>434</v>
      </c>
      <c r="B458" t="s">
        <v>468</v>
      </c>
      <c r="C458">
        <v>1</v>
      </c>
      <c r="D458" s="1">
        <v>45624</v>
      </c>
      <c r="E458">
        <v>7.95</v>
      </c>
      <c r="F458">
        <v>0</v>
      </c>
    </row>
    <row r="459" spans="1:6">
      <c r="A459">
        <v>435</v>
      </c>
      <c r="B459" t="s">
        <v>803</v>
      </c>
      <c r="C459">
        <v>2</v>
      </c>
      <c r="D459" s="1">
        <v>45624</v>
      </c>
      <c r="E459">
        <v>53.95</v>
      </c>
      <c r="F459">
        <v>0</v>
      </c>
    </row>
    <row r="460" spans="1:6">
      <c r="A460">
        <v>455</v>
      </c>
      <c r="B460" t="s">
        <v>952</v>
      </c>
      <c r="C460">
        <v>3</v>
      </c>
      <c r="D460" s="1">
        <v>45624</v>
      </c>
      <c r="E460">
        <v>22.36</v>
      </c>
      <c r="F460">
        <v>0</v>
      </c>
    </row>
    <row r="461" spans="1:6">
      <c r="A461">
        <v>438</v>
      </c>
      <c r="B461" t="s">
        <v>479</v>
      </c>
      <c r="C461">
        <v>2</v>
      </c>
      <c r="D461" s="1">
        <v>45625</v>
      </c>
      <c r="E461">
        <v>2.9</v>
      </c>
      <c r="F461">
        <v>0</v>
      </c>
    </row>
    <row r="462" spans="1:6">
      <c r="A462">
        <v>439</v>
      </c>
      <c r="B462" t="s">
        <v>468</v>
      </c>
      <c r="C462">
        <v>5</v>
      </c>
      <c r="D462" s="1">
        <v>45625</v>
      </c>
      <c r="E462">
        <v>7.95</v>
      </c>
      <c r="F462">
        <v>0</v>
      </c>
    </row>
    <row r="463" spans="1:6">
      <c r="A463">
        <v>441</v>
      </c>
      <c r="B463" t="s">
        <v>800</v>
      </c>
      <c r="C463">
        <v>2</v>
      </c>
      <c r="D463" s="1">
        <v>45625</v>
      </c>
      <c r="E463">
        <v>24.1</v>
      </c>
      <c r="F463">
        <v>0</v>
      </c>
    </row>
    <row r="464" spans="1:6">
      <c r="A464">
        <v>443</v>
      </c>
      <c r="B464" t="s">
        <v>471</v>
      </c>
      <c r="C464">
        <v>1</v>
      </c>
      <c r="D464" s="1">
        <v>45625</v>
      </c>
      <c r="E464">
        <v>316.44</v>
      </c>
      <c r="F464">
        <v>0</v>
      </c>
    </row>
    <row r="465" spans="1:6">
      <c r="A465">
        <v>450</v>
      </c>
      <c r="B465" t="s">
        <v>468</v>
      </c>
      <c r="C465">
        <v>1</v>
      </c>
      <c r="D465" s="1">
        <v>45625</v>
      </c>
      <c r="E465">
        <v>7.95</v>
      </c>
      <c r="F465">
        <v>0</v>
      </c>
    </row>
    <row r="466" spans="1:6">
      <c r="A466">
        <v>451</v>
      </c>
      <c r="B466" t="s">
        <v>469</v>
      </c>
      <c r="C466">
        <v>1</v>
      </c>
      <c r="D466" s="1">
        <v>45625</v>
      </c>
      <c r="E466">
        <v>7.95</v>
      </c>
      <c r="F466">
        <v>0</v>
      </c>
    </row>
    <row r="467" spans="1:6">
      <c r="A467">
        <v>452</v>
      </c>
      <c r="B467" t="s">
        <v>477</v>
      </c>
      <c r="C467">
        <v>2</v>
      </c>
      <c r="D467" s="1">
        <v>45625</v>
      </c>
      <c r="E467">
        <v>3.38</v>
      </c>
      <c r="F467">
        <v>0</v>
      </c>
    </row>
    <row r="468" spans="1:6">
      <c r="A468">
        <v>456</v>
      </c>
      <c r="B468" t="s">
        <v>492</v>
      </c>
      <c r="C468">
        <v>1</v>
      </c>
      <c r="D468" s="1">
        <v>45628</v>
      </c>
      <c r="E468">
        <v>8.25</v>
      </c>
      <c r="F468">
        <v>0</v>
      </c>
    </row>
    <row r="469" spans="1:6">
      <c r="A469">
        <v>457</v>
      </c>
      <c r="B469" t="s">
        <v>449</v>
      </c>
      <c r="C469">
        <v>2</v>
      </c>
      <c r="D469" s="1">
        <v>45628</v>
      </c>
      <c r="E469">
        <v>2.8</v>
      </c>
      <c r="F469">
        <v>0</v>
      </c>
    </row>
    <row r="470" spans="1:6">
      <c r="A470">
        <v>458</v>
      </c>
      <c r="B470" t="s">
        <v>491</v>
      </c>
      <c r="C470">
        <v>2</v>
      </c>
      <c r="D470" s="1">
        <v>45628</v>
      </c>
      <c r="E470">
        <v>8</v>
      </c>
      <c r="F470">
        <v>0</v>
      </c>
    </row>
    <row r="471" spans="1:6">
      <c r="A471">
        <v>459</v>
      </c>
      <c r="B471" t="s">
        <v>886</v>
      </c>
      <c r="C471">
        <v>1</v>
      </c>
      <c r="D471" s="1">
        <v>45628</v>
      </c>
      <c r="E471">
        <v>35.75</v>
      </c>
      <c r="F471">
        <v>0</v>
      </c>
    </row>
    <row r="472" spans="1:6">
      <c r="A472">
        <v>462</v>
      </c>
      <c r="B472" t="s">
        <v>800</v>
      </c>
      <c r="C472">
        <v>1</v>
      </c>
      <c r="D472" s="1">
        <v>45630</v>
      </c>
      <c r="E472">
        <v>24.1</v>
      </c>
      <c r="F472">
        <v>0</v>
      </c>
    </row>
    <row r="473" spans="1:6">
      <c r="A473">
        <v>463</v>
      </c>
      <c r="B473" t="s">
        <v>804</v>
      </c>
      <c r="C473">
        <v>1</v>
      </c>
      <c r="D473" s="1">
        <v>45630</v>
      </c>
      <c r="E473">
        <v>28.95</v>
      </c>
      <c r="F473">
        <v>0</v>
      </c>
    </row>
    <row r="474" spans="1:6">
      <c r="A474">
        <v>464</v>
      </c>
      <c r="B474" t="s">
        <v>886</v>
      </c>
      <c r="C474">
        <v>1</v>
      </c>
      <c r="D474" s="1">
        <v>45630</v>
      </c>
      <c r="E474">
        <v>35.75</v>
      </c>
      <c r="F474">
        <v>0</v>
      </c>
    </row>
    <row r="475" spans="1:6">
      <c r="A475">
        <v>466</v>
      </c>
      <c r="B475" t="s">
        <v>477</v>
      </c>
      <c r="C475">
        <v>2</v>
      </c>
      <c r="D475" s="1">
        <v>45630</v>
      </c>
      <c r="E475">
        <v>3.38</v>
      </c>
      <c r="F475">
        <v>0</v>
      </c>
    </row>
    <row r="476" spans="1:6">
      <c r="A476">
        <v>467</v>
      </c>
      <c r="B476" t="s">
        <v>424</v>
      </c>
      <c r="C476">
        <v>1</v>
      </c>
      <c r="D476" s="1">
        <v>45630</v>
      </c>
      <c r="E476">
        <v>560.78</v>
      </c>
      <c r="F476">
        <v>0</v>
      </c>
    </row>
    <row r="477" spans="1:6">
      <c r="A477">
        <v>473</v>
      </c>
      <c r="B477" t="s">
        <v>469</v>
      </c>
      <c r="C477">
        <v>2</v>
      </c>
      <c r="D477" s="1">
        <v>45632</v>
      </c>
      <c r="E477">
        <v>7.95</v>
      </c>
      <c r="F477">
        <v>0</v>
      </c>
    </row>
    <row r="478" spans="1:6">
      <c r="A478">
        <v>474</v>
      </c>
      <c r="B478" t="s">
        <v>468</v>
      </c>
      <c r="C478">
        <v>4</v>
      </c>
      <c r="D478" s="1">
        <v>45632</v>
      </c>
      <c r="E478">
        <v>7.95</v>
      </c>
      <c r="F478">
        <v>0</v>
      </c>
    </row>
    <row r="479" spans="1:6">
      <c r="A479">
        <v>475</v>
      </c>
      <c r="B479" t="s">
        <v>803</v>
      </c>
      <c r="C479">
        <v>2</v>
      </c>
      <c r="D479" s="1">
        <v>45635</v>
      </c>
      <c r="E479">
        <v>53.95</v>
      </c>
      <c r="F479">
        <v>0</v>
      </c>
    </row>
    <row r="480" spans="1:6">
      <c r="A480">
        <v>476</v>
      </c>
      <c r="B480" t="s">
        <v>800</v>
      </c>
      <c r="C480">
        <v>2</v>
      </c>
      <c r="D480" s="1">
        <v>45635</v>
      </c>
      <c r="E480">
        <v>24.1</v>
      </c>
      <c r="F480">
        <v>0</v>
      </c>
    </row>
    <row r="481" spans="1:6">
      <c r="A481">
        <v>477</v>
      </c>
      <c r="B481" t="s">
        <v>886</v>
      </c>
      <c r="C481">
        <v>2</v>
      </c>
      <c r="D481" s="1">
        <v>45635</v>
      </c>
      <c r="E481">
        <v>35.75</v>
      </c>
      <c r="F481">
        <v>0</v>
      </c>
    </row>
    <row r="482" spans="1:6">
      <c r="A482">
        <v>478</v>
      </c>
      <c r="B482" t="s">
        <v>800</v>
      </c>
      <c r="C482">
        <v>0</v>
      </c>
      <c r="D482" s="1">
        <v>45635</v>
      </c>
      <c r="E482">
        <v>24.1</v>
      </c>
      <c r="F482">
        <v>0</v>
      </c>
    </row>
    <row r="483" spans="1:6">
      <c r="A483">
        <v>502</v>
      </c>
      <c r="B483" t="s">
        <v>455</v>
      </c>
      <c r="C483">
        <v>1</v>
      </c>
      <c r="D483" s="1">
        <v>45635</v>
      </c>
      <c r="E483">
        <v>80</v>
      </c>
      <c r="F483">
        <v>0</v>
      </c>
    </row>
    <row r="484" spans="1:6">
      <c r="A484">
        <v>503</v>
      </c>
      <c r="B484" t="s">
        <v>455</v>
      </c>
      <c r="C484">
        <v>1</v>
      </c>
      <c r="D484" s="1">
        <v>45635</v>
      </c>
      <c r="E484">
        <v>80</v>
      </c>
      <c r="F484">
        <v>0</v>
      </c>
    </row>
    <row r="485" spans="1:6">
      <c r="A485">
        <v>479</v>
      </c>
      <c r="B485" t="s">
        <v>800</v>
      </c>
      <c r="C485">
        <v>1</v>
      </c>
      <c r="D485" s="1">
        <v>45636</v>
      </c>
      <c r="E485">
        <v>24.1</v>
      </c>
      <c r="F485">
        <v>0</v>
      </c>
    </row>
    <row r="486" spans="1:6">
      <c r="A486">
        <v>480</v>
      </c>
      <c r="B486" t="s">
        <v>886</v>
      </c>
      <c r="C486">
        <v>1</v>
      </c>
      <c r="D486" s="1">
        <v>45636</v>
      </c>
      <c r="E486">
        <v>35.75</v>
      </c>
      <c r="F486">
        <v>0</v>
      </c>
    </row>
    <row r="487" spans="1:6">
      <c r="A487">
        <v>481</v>
      </c>
      <c r="B487" t="s">
        <v>314</v>
      </c>
      <c r="C487">
        <v>2</v>
      </c>
      <c r="D487" s="1">
        <v>45637</v>
      </c>
      <c r="E487">
        <v>268.95999999999998</v>
      </c>
      <c r="F487">
        <v>0</v>
      </c>
    </row>
    <row r="488" spans="1:6">
      <c r="A488">
        <v>482</v>
      </c>
      <c r="B488" t="s">
        <v>803</v>
      </c>
      <c r="C488">
        <v>2</v>
      </c>
      <c r="D488" s="1">
        <v>45637</v>
      </c>
      <c r="E488">
        <v>53.95</v>
      </c>
      <c r="F488">
        <v>0</v>
      </c>
    </row>
    <row r="489" spans="1:6">
      <c r="A489">
        <v>483</v>
      </c>
      <c r="B489" t="s">
        <v>471</v>
      </c>
      <c r="C489">
        <v>1</v>
      </c>
      <c r="D489" s="1">
        <v>45642</v>
      </c>
      <c r="E489">
        <v>316.44</v>
      </c>
      <c r="F489">
        <v>0</v>
      </c>
    </row>
    <row r="490" spans="1:6">
      <c r="A490">
        <v>486</v>
      </c>
      <c r="B490" t="s">
        <v>832</v>
      </c>
      <c r="C490">
        <v>1</v>
      </c>
      <c r="D490" s="1">
        <v>45642</v>
      </c>
      <c r="E490">
        <v>952</v>
      </c>
      <c r="F490">
        <v>0</v>
      </c>
    </row>
    <row r="491" spans="1:6">
      <c r="A491">
        <v>484</v>
      </c>
      <c r="B491" t="s">
        <v>803</v>
      </c>
      <c r="C491">
        <v>1</v>
      </c>
      <c r="D491" s="1">
        <v>45643</v>
      </c>
      <c r="E491">
        <v>53.95</v>
      </c>
      <c r="F491">
        <v>0</v>
      </c>
    </row>
    <row r="492" spans="1:6">
      <c r="A492">
        <v>485</v>
      </c>
      <c r="B492" t="s">
        <v>832</v>
      </c>
      <c r="C492">
        <v>1</v>
      </c>
      <c r="D492" s="1">
        <v>45643</v>
      </c>
      <c r="E492">
        <v>952</v>
      </c>
      <c r="F492">
        <v>0</v>
      </c>
    </row>
    <row r="493" spans="1:6">
      <c r="A493">
        <v>487</v>
      </c>
      <c r="B493" t="s">
        <v>886</v>
      </c>
      <c r="C493">
        <v>1</v>
      </c>
      <c r="D493" s="1">
        <v>45643</v>
      </c>
      <c r="E493">
        <v>35.75</v>
      </c>
      <c r="F493">
        <v>0</v>
      </c>
    </row>
    <row r="494" spans="1:6">
      <c r="A494">
        <v>488</v>
      </c>
      <c r="B494" t="s">
        <v>803</v>
      </c>
      <c r="C494">
        <v>1</v>
      </c>
      <c r="D494" s="1">
        <v>45643</v>
      </c>
      <c r="E494">
        <v>53.95</v>
      </c>
      <c r="F494">
        <v>0</v>
      </c>
    </row>
    <row r="495" spans="1:6">
      <c r="A495">
        <v>489</v>
      </c>
      <c r="B495" t="s">
        <v>886</v>
      </c>
      <c r="C495">
        <v>4</v>
      </c>
      <c r="D495" s="1">
        <v>45643</v>
      </c>
      <c r="E495">
        <v>35.75</v>
      </c>
      <c r="F495">
        <v>0</v>
      </c>
    </row>
    <row r="496" spans="1:6">
      <c r="A496">
        <v>490</v>
      </c>
      <c r="B496" t="s">
        <v>800</v>
      </c>
      <c r="C496">
        <v>4</v>
      </c>
      <c r="D496" s="1">
        <v>45643</v>
      </c>
      <c r="E496">
        <v>24.1</v>
      </c>
      <c r="F496">
        <v>0</v>
      </c>
    </row>
    <row r="497" spans="1:6">
      <c r="A497">
        <v>854</v>
      </c>
      <c r="B497" t="s">
        <v>330</v>
      </c>
      <c r="C497">
        <v>1</v>
      </c>
      <c r="D497" s="1">
        <v>45643</v>
      </c>
      <c r="E497">
        <v>733.5</v>
      </c>
      <c r="F497">
        <v>0</v>
      </c>
    </row>
    <row r="498" spans="1:6">
      <c r="A498">
        <v>491</v>
      </c>
      <c r="B498" t="s">
        <v>800</v>
      </c>
      <c r="C498">
        <v>1</v>
      </c>
      <c r="D498" s="1">
        <v>45645</v>
      </c>
      <c r="E498">
        <v>24.1</v>
      </c>
      <c r="F498">
        <v>0</v>
      </c>
    </row>
    <row r="499" spans="1:6">
      <c r="A499">
        <v>492</v>
      </c>
      <c r="B499" t="s">
        <v>449</v>
      </c>
      <c r="C499">
        <v>1</v>
      </c>
      <c r="D499" s="1">
        <v>45645</v>
      </c>
      <c r="E499">
        <v>2.8</v>
      </c>
      <c r="F499">
        <v>0</v>
      </c>
    </row>
    <row r="500" spans="1:6">
      <c r="A500">
        <v>493</v>
      </c>
      <c r="B500" t="s">
        <v>468</v>
      </c>
      <c r="C500">
        <v>1</v>
      </c>
      <c r="D500" s="1">
        <v>45645</v>
      </c>
      <c r="E500">
        <v>7.95</v>
      </c>
      <c r="F500">
        <v>0</v>
      </c>
    </row>
    <row r="501" spans="1:6">
      <c r="A501">
        <v>506</v>
      </c>
      <c r="B501" t="s">
        <v>838</v>
      </c>
      <c r="C501">
        <v>1</v>
      </c>
      <c r="D501" s="1">
        <v>45645</v>
      </c>
      <c r="E501">
        <v>391</v>
      </c>
      <c r="F501">
        <v>0</v>
      </c>
    </row>
    <row r="502" spans="1:6">
      <c r="A502">
        <v>494</v>
      </c>
      <c r="B502" t="s">
        <v>466</v>
      </c>
      <c r="C502">
        <v>1</v>
      </c>
      <c r="D502" s="1">
        <v>45649</v>
      </c>
      <c r="E502">
        <v>390</v>
      </c>
      <c r="F502">
        <v>0</v>
      </c>
    </row>
    <row r="503" spans="1:6">
      <c r="A503">
        <v>495</v>
      </c>
      <c r="B503" t="s">
        <v>803</v>
      </c>
      <c r="C503">
        <v>2</v>
      </c>
      <c r="D503" s="1">
        <v>45649</v>
      </c>
      <c r="E503">
        <v>53.95</v>
      </c>
      <c r="F503">
        <v>0</v>
      </c>
    </row>
    <row r="504" spans="1:6">
      <c r="A504">
        <v>513</v>
      </c>
      <c r="B504" t="s">
        <v>424</v>
      </c>
      <c r="C504">
        <v>1</v>
      </c>
      <c r="D504" s="1">
        <v>45649</v>
      </c>
      <c r="E504">
        <v>560.78</v>
      </c>
      <c r="F504">
        <v>0</v>
      </c>
    </row>
    <row r="505" spans="1:6">
      <c r="A505">
        <v>496</v>
      </c>
      <c r="B505" t="s">
        <v>478</v>
      </c>
      <c r="C505">
        <v>1</v>
      </c>
      <c r="D505" s="1">
        <v>45650</v>
      </c>
      <c r="E505">
        <v>155.69999999999999</v>
      </c>
      <c r="F505">
        <v>0</v>
      </c>
    </row>
    <row r="506" spans="1:6">
      <c r="A506">
        <v>497</v>
      </c>
      <c r="B506" t="s">
        <v>793</v>
      </c>
      <c r="C506">
        <v>1</v>
      </c>
      <c r="D506" s="1">
        <v>45650</v>
      </c>
      <c r="E506">
        <v>119</v>
      </c>
      <c r="F506">
        <v>0</v>
      </c>
    </row>
    <row r="507" spans="1:6">
      <c r="A507">
        <v>498</v>
      </c>
      <c r="B507" t="s">
        <v>462</v>
      </c>
      <c r="C507">
        <v>1</v>
      </c>
      <c r="D507" s="1">
        <v>45650</v>
      </c>
      <c r="E507">
        <v>179.32</v>
      </c>
      <c r="F507">
        <v>0</v>
      </c>
    </row>
    <row r="508" spans="1:6">
      <c r="A508">
        <v>501</v>
      </c>
      <c r="B508" t="s">
        <v>821</v>
      </c>
      <c r="C508">
        <v>1</v>
      </c>
      <c r="D508" s="1">
        <v>45650</v>
      </c>
      <c r="E508">
        <v>119</v>
      </c>
      <c r="F508">
        <v>0</v>
      </c>
    </row>
    <row r="509" spans="1:6">
      <c r="A509">
        <v>504</v>
      </c>
      <c r="B509" t="s">
        <v>803</v>
      </c>
      <c r="C509">
        <v>1</v>
      </c>
      <c r="D509" s="1">
        <v>45650</v>
      </c>
      <c r="E509">
        <v>53.95</v>
      </c>
      <c r="F509">
        <v>0</v>
      </c>
    </row>
    <row r="510" spans="1:6">
      <c r="A510">
        <v>499</v>
      </c>
      <c r="B510" t="s">
        <v>800</v>
      </c>
      <c r="C510">
        <v>2</v>
      </c>
      <c r="D510" s="1">
        <v>45653</v>
      </c>
      <c r="E510">
        <v>24.1</v>
      </c>
      <c r="F510">
        <v>0</v>
      </c>
    </row>
    <row r="511" spans="1:6">
      <c r="A511">
        <v>500</v>
      </c>
      <c r="B511" t="s">
        <v>886</v>
      </c>
      <c r="C511">
        <v>2</v>
      </c>
      <c r="D511" s="1">
        <v>45653</v>
      </c>
      <c r="E511">
        <v>35.75</v>
      </c>
      <c r="F511">
        <v>0</v>
      </c>
    </row>
    <row r="512" spans="1:6">
      <c r="A512">
        <v>505</v>
      </c>
      <c r="B512" t="s">
        <v>477</v>
      </c>
      <c r="C512">
        <v>1</v>
      </c>
      <c r="D512" s="1">
        <v>45656</v>
      </c>
      <c r="E512">
        <v>3.38</v>
      </c>
      <c r="F512">
        <v>0</v>
      </c>
    </row>
    <row r="513" spans="1:6">
      <c r="A513">
        <v>507</v>
      </c>
      <c r="B513" t="s">
        <v>968</v>
      </c>
      <c r="C513">
        <v>1</v>
      </c>
      <c r="D513" s="1">
        <v>45656</v>
      </c>
      <c r="E513">
        <v>4.79</v>
      </c>
      <c r="F513">
        <v>0</v>
      </c>
    </row>
    <row r="514" spans="1:6">
      <c r="A514">
        <v>508</v>
      </c>
      <c r="B514" t="s">
        <v>468</v>
      </c>
      <c r="C514">
        <v>1</v>
      </c>
      <c r="D514" s="1">
        <v>45656</v>
      </c>
      <c r="E514">
        <v>7.95</v>
      </c>
      <c r="F514">
        <v>0</v>
      </c>
    </row>
    <row r="515" spans="1:6">
      <c r="A515">
        <v>509</v>
      </c>
      <c r="B515" t="s">
        <v>327</v>
      </c>
      <c r="C515">
        <v>1</v>
      </c>
      <c r="D515" s="1">
        <v>45656</v>
      </c>
      <c r="E515">
        <v>547.4</v>
      </c>
      <c r="F515">
        <v>0</v>
      </c>
    </row>
    <row r="516" spans="1:6">
      <c r="A516">
        <v>510</v>
      </c>
      <c r="B516" t="s">
        <v>327</v>
      </c>
      <c r="C516">
        <v>1</v>
      </c>
      <c r="D516" s="1">
        <v>45656</v>
      </c>
      <c r="E516">
        <v>547.4</v>
      </c>
      <c r="F516">
        <v>0</v>
      </c>
    </row>
    <row r="517" spans="1:6">
      <c r="A517">
        <v>511</v>
      </c>
      <c r="B517" t="s">
        <v>800</v>
      </c>
      <c r="C517">
        <v>1</v>
      </c>
      <c r="D517" s="1">
        <v>45657</v>
      </c>
      <c r="E517">
        <v>24.1</v>
      </c>
      <c r="F517">
        <v>0</v>
      </c>
    </row>
    <row r="518" spans="1:6">
      <c r="A518">
        <v>512</v>
      </c>
      <c r="B518" t="s">
        <v>952</v>
      </c>
      <c r="C518">
        <v>1</v>
      </c>
      <c r="D518" s="1">
        <v>45657</v>
      </c>
      <c r="E518">
        <v>22.36</v>
      </c>
      <c r="F518">
        <v>0</v>
      </c>
    </row>
    <row r="519" spans="1:6">
      <c r="A519">
        <v>514</v>
      </c>
      <c r="B519" t="s">
        <v>886</v>
      </c>
      <c r="C519">
        <v>1</v>
      </c>
      <c r="D519" s="1">
        <v>45660</v>
      </c>
      <c r="E519">
        <v>35.75</v>
      </c>
      <c r="F519">
        <v>0</v>
      </c>
    </row>
    <row r="520" spans="1:6">
      <c r="A520">
        <v>515</v>
      </c>
      <c r="B520" t="s">
        <v>314</v>
      </c>
      <c r="C520">
        <v>1</v>
      </c>
      <c r="D520" s="1">
        <v>45660</v>
      </c>
      <c r="E520">
        <v>268.95999999999998</v>
      </c>
      <c r="F520">
        <v>0</v>
      </c>
    </row>
    <row r="521" spans="1:6">
      <c r="A521">
        <v>516</v>
      </c>
      <c r="B521" t="s">
        <v>800</v>
      </c>
      <c r="C521">
        <v>1</v>
      </c>
      <c r="D521" s="1">
        <v>45660</v>
      </c>
      <c r="E521">
        <v>24.1</v>
      </c>
      <c r="F521">
        <v>0</v>
      </c>
    </row>
    <row r="522" spans="1:6">
      <c r="A522">
        <v>517</v>
      </c>
      <c r="B522" t="s">
        <v>469</v>
      </c>
      <c r="C522">
        <v>1</v>
      </c>
      <c r="D522" s="1">
        <v>45663</v>
      </c>
      <c r="E522">
        <v>7.95</v>
      </c>
      <c r="F522">
        <v>0</v>
      </c>
    </row>
    <row r="523" spans="1:6">
      <c r="A523">
        <v>518</v>
      </c>
      <c r="B523" t="s">
        <v>469</v>
      </c>
      <c r="C523">
        <v>1</v>
      </c>
      <c r="D523" s="1">
        <v>45664</v>
      </c>
      <c r="E523">
        <v>7.95</v>
      </c>
      <c r="F523">
        <v>0</v>
      </c>
    </row>
    <row r="524" spans="1:6">
      <c r="A524">
        <v>519</v>
      </c>
      <c r="B524" t="s">
        <v>800</v>
      </c>
      <c r="C524">
        <v>1</v>
      </c>
      <c r="D524" s="1">
        <v>45664</v>
      </c>
      <c r="E524">
        <v>24.1</v>
      </c>
      <c r="F524">
        <v>0</v>
      </c>
    </row>
    <row r="525" spans="1:6">
      <c r="A525">
        <v>520</v>
      </c>
      <c r="B525" t="s">
        <v>830</v>
      </c>
      <c r="C525">
        <v>1</v>
      </c>
      <c r="D525" s="1">
        <v>45665</v>
      </c>
      <c r="E525">
        <v>354</v>
      </c>
      <c r="F525">
        <v>0</v>
      </c>
    </row>
    <row r="526" spans="1:6">
      <c r="A526">
        <v>521</v>
      </c>
      <c r="B526" t="s">
        <v>315</v>
      </c>
      <c r="C526">
        <v>1</v>
      </c>
      <c r="D526" s="1">
        <v>45665</v>
      </c>
      <c r="E526">
        <v>153</v>
      </c>
      <c r="F526">
        <v>0</v>
      </c>
    </row>
    <row r="527" spans="1:6">
      <c r="A527">
        <v>522</v>
      </c>
      <c r="B527" t="s">
        <v>803</v>
      </c>
      <c r="C527">
        <v>3</v>
      </c>
      <c r="D527" s="1">
        <v>45666</v>
      </c>
      <c r="E527">
        <v>53.95</v>
      </c>
      <c r="F527">
        <v>0</v>
      </c>
    </row>
    <row r="528" spans="1:6">
      <c r="A528">
        <v>523</v>
      </c>
      <c r="B528" t="s">
        <v>484</v>
      </c>
      <c r="C528">
        <v>1</v>
      </c>
      <c r="D528" s="1">
        <v>45666</v>
      </c>
      <c r="E528">
        <v>92.7</v>
      </c>
      <c r="F528">
        <v>0</v>
      </c>
    </row>
    <row r="529" spans="1:6">
      <c r="A529">
        <v>524</v>
      </c>
      <c r="B529" t="s">
        <v>477</v>
      </c>
      <c r="C529">
        <v>1</v>
      </c>
      <c r="D529" s="1">
        <v>45667</v>
      </c>
      <c r="E529">
        <v>3.38</v>
      </c>
      <c r="F529">
        <v>0</v>
      </c>
    </row>
    <row r="530" spans="1:6">
      <c r="A530">
        <v>525</v>
      </c>
      <c r="B530" t="s">
        <v>886</v>
      </c>
      <c r="C530">
        <v>13</v>
      </c>
      <c r="D530" s="1">
        <v>45667</v>
      </c>
      <c r="E530">
        <v>35.75</v>
      </c>
      <c r="F530">
        <v>0</v>
      </c>
    </row>
    <row r="531" spans="1:6">
      <c r="A531">
        <v>526</v>
      </c>
      <c r="B531" t="s">
        <v>820</v>
      </c>
      <c r="C531">
        <v>1</v>
      </c>
      <c r="D531" s="1">
        <v>45671</v>
      </c>
      <c r="E531">
        <v>73.5</v>
      </c>
      <c r="F531">
        <v>0</v>
      </c>
    </row>
    <row r="532" spans="1:6">
      <c r="A532">
        <v>527</v>
      </c>
      <c r="B532" t="s">
        <v>820</v>
      </c>
      <c r="C532">
        <v>1</v>
      </c>
      <c r="D532" s="1">
        <v>45671</v>
      </c>
      <c r="E532">
        <v>73.5</v>
      </c>
      <c r="F532">
        <v>0</v>
      </c>
    </row>
    <row r="533" spans="1:6">
      <c r="A533">
        <v>528</v>
      </c>
      <c r="B533" t="s">
        <v>803</v>
      </c>
      <c r="C533">
        <v>1</v>
      </c>
      <c r="D533" s="1">
        <v>45671</v>
      </c>
      <c r="E533">
        <v>53.95</v>
      </c>
      <c r="F533">
        <v>0</v>
      </c>
    </row>
    <row r="534" spans="1:6">
      <c r="A534">
        <v>529</v>
      </c>
      <c r="B534" t="s">
        <v>468</v>
      </c>
      <c r="C534">
        <v>4</v>
      </c>
      <c r="D534" s="1">
        <v>45672</v>
      </c>
      <c r="E534">
        <v>7.95</v>
      </c>
      <c r="F534">
        <v>0</v>
      </c>
    </row>
    <row r="535" spans="1:6">
      <c r="A535">
        <v>585</v>
      </c>
      <c r="B535" t="s">
        <v>882</v>
      </c>
      <c r="C535">
        <v>1</v>
      </c>
      <c r="D535" s="1">
        <v>45673</v>
      </c>
      <c r="E535">
        <v>58.92</v>
      </c>
      <c r="F535">
        <v>0</v>
      </c>
    </row>
    <row r="536" spans="1:6">
      <c r="A536">
        <v>530</v>
      </c>
      <c r="B536" t="s">
        <v>800</v>
      </c>
      <c r="C536">
        <v>4</v>
      </c>
      <c r="D536" s="1">
        <v>45677</v>
      </c>
      <c r="E536">
        <v>24.1</v>
      </c>
      <c r="F536">
        <v>0</v>
      </c>
    </row>
    <row r="537" spans="1:6">
      <c r="A537">
        <v>531</v>
      </c>
      <c r="B537" t="s">
        <v>886</v>
      </c>
      <c r="C537">
        <v>1</v>
      </c>
      <c r="D537" s="1">
        <v>45677</v>
      </c>
      <c r="E537">
        <v>35.75</v>
      </c>
      <c r="F537">
        <v>0</v>
      </c>
    </row>
    <row r="538" spans="1:6">
      <c r="A538">
        <v>532</v>
      </c>
      <c r="B538" t="s">
        <v>803</v>
      </c>
      <c r="C538">
        <v>2</v>
      </c>
      <c r="D538" s="1">
        <v>45677</v>
      </c>
      <c r="E538">
        <v>53.95</v>
      </c>
      <c r="F538">
        <v>0</v>
      </c>
    </row>
    <row r="539" spans="1:6">
      <c r="A539">
        <v>533</v>
      </c>
      <c r="B539" t="s">
        <v>471</v>
      </c>
      <c r="C539">
        <v>1</v>
      </c>
      <c r="D539" s="1">
        <v>45678</v>
      </c>
      <c r="E539">
        <v>316.44</v>
      </c>
      <c r="F539">
        <v>0</v>
      </c>
    </row>
    <row r="540" spans="1:6">
      <c r="A540">
        <v>534</v>
      </c>
      <c r="B540" t="s">
        <v>455</v>
      </c>
      <c r="C540">
        <v>1</v>
      </c>
      <c r="D540" s="1">
        <v>45678</v>
      </c>
      <c r="E540">
        <v>80</v>
      </c>
      <c r="F540">
        <v>0</v>
      </c>
    </row>
    <row r="541" spans="1:6">
      <c r="A541">
        <v>535</v>
      </c>
      <c r="B541" t="s">
        <v>803</v>
      </c>
      <c r="C541">
        <v>1</v>
      </c>
      <c r="D541" s="1">
        <v>45679</v>
      </c>
      <c r="E541">
        <v>53.95</v>
      </c>
      <c r="F541">
        <v>0</v>
      </c>
    </row>
    <row r="542" spans="1:6">
      <c r="A542">
        <v>536</v>
      </c>
      <c r="B542" t="s">
        <v>838</v>
      </c>
      <c r="C542">
        <v>1</v>
      </c>
      <c r="D542" s="1">
        <v>45680</v>
      </c>
      <c r="E542">
        <v>391</v>
      </c>
      <c r="F542">
        <v>0</v>
      </c>
    </row>
    <row r="543" spans="1:6">
      <c r="A543">
        <v>537</v>
      </c>
      <c r="B543" t="s">
        <v>838</v>
      </c>
      <c r="C543">
        <v>1</v>
      </c>
      <c r="D543" s="1">
        <v>45680</v>
      </c>
      <c r="E543">
        <v>391</v>
      </c>
      <c r="F543">
        <v>0</v>
      </c>
    </row>
    <row r="544" spans="1:6">
      <c r="A544">
        <v>538</v>
      </c>
      <c r="B544" t="s">
        <v>468</v>
      </c>
      <c r="C544">
        <v>6</v>
      </c>
      <c r="D544" s="1">
        <v>45681</v>
      </c>
      <c r="E544">
        <v>7.95</v>
      </c>
      <c r="F544">
        <v>0</v>
      </c>
    </row>
    <row r="545" spans="1:6">
      <c r="A545">
        <v>539</v>
      </c>
      <c r="B545" t="s">
        <v>803</v>
      </c>
      <c r="C545">
        <v>1</v>
      </c>
      <c r="D545" s="1">
        <v>45681</v>
      </c>
      <c r="E545">
        <v>53.95</v>
      </c>
      <c r="F545">
        <v>0</v>
      </c>
    </row>
    <row r="546" spans="1:6">
      <c r="A546">
        <v>549</v>
      </c>
      <c r="B546" t="s">
        <v>795</v>
      </c>
      <c r="C546">
        <v>1</v>
      </c>
      <c r="D546" s="1">
        <v>45684</v>
      </c>
      <c r="E546">
        <v>776.9</v>
      </c>
      <c r="F546">
        <v>0</v>
      </c>
    </row>
    <row r="547" spans="1:6">
      <c r="A547">
        <v>550</v>
      </c>
      <c r="B547" t="s">
        <v>424</v>
      </c>
      <c r="C547">
        <v>1</v>
      </c>
      <c r="D547" s="1">
        <v>45684</v>
      </c>
      <c r="E547">
        <v>560.78</v>
      </c>
      <c r="F547">
        <v>0</v>
      </c>
    </row>
    <row r="548" spans="1:6">
      <c r="A548">
        <v>540</v>
      </c>
      <c r="B548" t="s">
        <v>803</v>
      </c>
      <c r="C548">
        <v>1</v>
      </c>
      <c r="D548" s="1">
        <v>45685</v>
      </c>
      <c r="E548">
        <v>53.95</v>
      </c>
      <c r="F548">
        <v>0</v>
      </c>
    </row>
    <row r="549" spans="1:6">
      <c r="A549">
        <v>543</v>
      </c>
      <c r="B549" t="s">
        <v>469</v>
      </c>
      <c r="C549">
        <v>2</v>
      </c>
      <c r="D549" s="1">
        <v>45685</v>
      </c>
      <c r="E549">
        <v>7.95</v>
      </c>
      <c r="F549">
        <v>0</v>
      </c>
    </row>
    <row r="550" spans="1:6">
      <c r="A550">
        <v>544</v>
      </c>
      <c r="B550" t="s">
        <v>968</v>
      </c>
      <c r="C550">
        <v>2</v>
      </c>
      <c r="D550" s="1">
        <v>45685</v>
      </c>
      <c r="E550">
        <v>4.79</v>
      </c>
      <c r="F550">
        <v>0</v>
      </c>
    </row>
    <row r="551" spans="1:6">
      <c r="A551">
        <v>545</v>
      </c>
      <c r="B551" t="s">
        <v>449</v>
      </c>
      <c r="C551">
        <v>1</v>
      </c>
      <c r="D551" s="1">
        <v>45685</v>
      </c>
      <c r="E551">
        <v>2.8</v>
      </c>
      <c r="F551">
        <v>0</v>
      </c>
    </row>
    <row r="552" spans="1:6">
      <c r="A552">
        <v>546</v>
      </c>
      <c r="B552" t="s">
        <v>800</v>
      </c>
      <c r="C552">
        <v>1</v>
      </c>
      <c r="D552" s="1">
        <v>45686</v>
      </c>
      <c r="E552">
        <v>24.1</v>
      </c>
      <c r="F552">
        <v>0</v>
      </c>
    </row>
    <row r="553" spans="1:6">
      <c r="A553">
        <v>547</v>
      </c>
      <c r="B553" t="s">
        <v>886</v>
      </c>
      <c r="C553">
        <v>1</v>
      </c>
      <c r="D553" s="1">
        <v>45686</v>
      </c>
      <c r="E553">
        <v>35.75</v>
      </c>
      <c r="F553">
        <v>0</v>
      </c>
    </row>
    <row r="554" spans="1:6">
      <c r="A554">
        <v>548</v>
      </c>
      <c r="B554" t="s">
        <v>803</v>
      </c>
      <c r="C554">
        <v>1</v>
      </c>
      <c r="D554" s="1">
        <v>45686</v>
      </c>
      <c r="E554">
        <v>53.95</v>
      </c>
      <c r="F554">
        <v>0</v>
      </c>
    </row>
    <row r="555" spans="1:6">
      <c r="A555">
        <v>551</v>
      </c>
      <c r="B555" t="s">
        <v>886</v>
      </c>
      <c r="C555">
        <v>4</v>
      </c>
      <c r="D555" s="1">
        <v>45688</v>
      </c>
      <c r="E555">
        <v>35.75</v>
      </c>
      <c r="F555">
        <v>0</v>
      </c>
    </row>
    <row r="556" spans="1:6">
      <c r="A556">
        <v>552</v>
      </c>
      <c r="B556" t="s">
        <v>800</v>
      </c>
      <c r="C556">
        <v>6</v>
      </c>
      <c r="D556" s="1">
        <v>45688</v>
      </c>
      <c r="E556">
        <v>24.1</v>
      </c>
      <c r="F556">
        <v>0</v>
      </c>
    </row>
    <row r="557" spans="1:6">
      <c r="A557">
        <v>553</v>
      </c>
      <c r="B557" t="s">
        <v>968</v>
      </c>
      <c r="C557">
        <v>3</v>
      </c>
      <c r="D557" s="1">
        <v>45688</v>
      </c>
      <c r="E557">
        <v>4.79</v>
      </c>
      <c r="F557">
        <v>0</v>
      </c>
    </row>
    <row r="558" spans="1:6">
      <c r="A558">
        <v>554</v>
      </c>
      <c r="B558" t="s">
        <v>968</v>
      </c>
      <c r="C558">
        <v>2</v>
      </c>
      <c r="D558" s="1">
        <v>45688</v>
      </c>
      <c r="E558">
        <v>4.79</v>
      </c>
      <c r="F558">
        <v>0</v>
      </c>
    </row>
    <row r="559" spans="1:6">
      <c r="A559">
        <v>555</v>
      </c>
      <c r="B559" t="s">
        <v>468</v>
      </c>
      <c r="C559">
        <v>6</v>
      </c>
      <c r="D559" s="1">
        <v>45688</v>
      </c>
      <c r="E559">
        <v>7.95</v>
      </c>
      <c r="F559">
        <v>0</v>
      </c>
    </row>
    <row r="560" spans="1:6">
      <c r="A560">
        <v>556</v>
      </c>
      <c r="B560" t="s">
        <v>469</v>
      </c>
      <c r="C560">
        <v>3</v>
      </c>
      <c r="D560" s="1">
        <v>45688</v>
      </c>
      <c r="E560">
        <v>7.95</v>
      </c>
      <c r="F560">
        <v>0</v>
      </c>
    </row>
    <row r="561" spans="1:6">
      <c r="A561">
        <v>557</v>
      </c>
      <c r="B561" t="s">
        <v>477</v>
      </c>
      <c r="C561">
        <v>3</v>
      </c>
      <c r="D561" s="1">
        <v>45688</v>
      </c>
      <c r="E561">
        <v>3.38</v>
      </c>
      <c r="F561">
        <v>0</v>
      </c>
    </row>
    <row r="562" spans="1:6">
      <c r="A562">
        <v>558</v>
      </c>
      <c r="B562" t="s">
        <v>819</v>
      </c>
      <c r="C562">
        <v>1</v>
      </c>
      <c r="D562" s="1">
        <v>45691</v>
      </c>
      <c r="E562">
        <v>120</v>
      </c>
      <c r="F562">
        <v>0</v>
      </c>
    </row>
    <row r="563" spans="1:6">
      <c r="A563">
        <v>559</v>
      </c>
      <c r="B563" t="s">
        <v>53</v>
      </c>
      <c r="C563">
        <v>1</v>
      </c>
      <c r="D563" s="1">
        <v>45693</v>
      </c>
      <c r="E563">
        <v>24.75</v>
      </c>
      <c r="F563">
        <v>0</v>
      </c>
    </row>
    <row r="564" spans="1:6">
      <c r="A564">
        <v>560</v>
      </c>
      <c r="B564" t="s">
        <v>803</v>
      </c>
      <c r="C564">
        <v>1</v>
      </c>
      <c r="D564" s="1">
        <v>45693</v>
      </c>
      <c r="E564">
        <v>53.95</v>
      </c>
      <c r="F564">
        <v>0</v>
      </c>
    </row>
    <row r="565" spans="1:6">
      <c r="A565">
        <v>561</v>
      </c>
      <c r="B565" t="s">
        <v>469</v>
      </c>
      <c r="C565">
        <v>1</v>
      </c>
      <c r="D565" s="1">
        <v>45693</v>
      </c>
      <c r="E565">
        <v>7.95</v>
      </c>
      <c r="F565">
        <v>0</v>
      </c>
    </row>
    <row r="566" spans="1:6">
      <c r="A566">
        <v>588</v>
      </c>
      <c r="B566" t="s">
        <v>800</v>
      </c>
      <c r="C566">
        <v>1</v>
      </c>
      <c r="D566" s="1">
        <v>45693</v>
      </c>
      <c r="E566">
        <v>24.1</v>
      </c>
      <c r="F566">
        <v>0</v>
      </c>
    </row>
    <row r="567" spans="1:6">
      <c r="A567">
        <v>562</v>
      </c>
      <c r="B567" t="s">
        <v>492</v>
      </c>
      <c r="C567">
        <v>1</v>
      </c>
      <c r="D567" s="1">
        <v>45695</v>
      </c>
      <c r="E567">
        <v>8.25</v>
      </c>
      <c r="F567">
        <v>0</v>
      </c>
    </row>
    <row r="568" spans="1:6">
      <c r="A568">
        <v>563</v>
      </c>
      <c r="B568" t="s">
        <v>886</v>
      </c>
      <c r="C568">
        <v>1</v>
      </c>
      <c r="D568" s="1">
        <v>45698</v>
      </c>
      <c r="E568">
        <v>35.75</v>
      </c>
      <c r="F568">
        <v>0</v>
      </c>
    </row>
    <row r="569" spans="1:6">
      <c r="A569">
        <v>564</v>
      </c>
      <c r="B569" t="s">
        <v>800</v>
      </c>
      <c r="C569">
        <v>1</v>
      </c>
      <c r="D569" s="1">
        <v>45698</v>
      </c>
      <c r="E569">
        <v>24.1</v>
      </c>
      <c r="F569">
        <v>0</v>
      </c>
    </row>
    <row r="570" spans="1:6">
      <c r="A570">
        <v>565</v>
      </c>
      <c r="B570" t="s">
        <v>468</v>
      </c>
      <c r="C570">
        <v>5</v>
      </c>
      <c r="D570" s="1">
        <v>45699</v>
      </c>
      <c r="E570">
        <v>7.95</v>
      </c>
      <c r="F570">
        <v>0</v>
      </c>
    </row>
    <row r="571" spans="1:6">
      <c r="A571">
        <v>566</v>
      </c>
      <c r="B571" t="s">
        <v>800</v>
      </c>
      <c r="C571">
        <v>1</v>
      </c>
      <c r="D571" s="1">
        <v>45700</v>
      </c>
      <c r="E571">
        <v>24.1</v>
      </c>
      <c r="F571">
        <v>0</v>
      </c>
    </row>
    <row r="572" spans="1:6">
      <c r="A572">
        <v>567</v>
      </c>
      <c r="B572" t="s">
        <v>800</v>
      </c>
      <c r="C572">
        <v>3</v>
      </c>
      <c r="D572" s="1">
        <v>45700</v>
      </c>
      <c r="E572">
        <v>24.1</v>
      </c>
      <c r="F572">
        <v>0</v>
      </c>
    </row>
    <row r="573" spans="1:6">
      <c r="A573">
        <v>568</v>
      </c>
      <c r="B573" t="s">
        <v>886</v>
      </c>
      <c r="C573">
        <v>1</v>
      </c>
      <c r="D573" s="1">
        <v>45700</v>
      </c>
      <c r="E573">
        <v>35.75</v>
      </c>
      <c r="F573">
        <v>0</v>
      </c>
    </row>
    <row r="574" spans="1:6">
      <c r="A574">
        <v>701</v>
      </c>
      <c r="B574" t="s">
        <v>854</v>
      </c>
      <c r="C574">
        <v>1</v>
      </c>
      <c r="D574" s="1">
        <v>45700</v>
      </c>
      <c r="F574">
        <v>0</v>
      </c>
    </row>
    <row r="575" spans="1:6">
      <c r="A575">
        <v>569</v>
      </c>
      <c r="B575" t="s">
        <v>803</v>
      </c>
      <c r="C575">
        <v>3</v>
      </c>
      <c r="D575" s="1">
        <v>45702</v>
      </c>
      <c r="E575">
        <v>53.95</v>
      </c>
      <c r="F575">
        <v>0</v>
      </c>
    </row>
    <row r="576" spans="1:6">
      <c r="A576">
        <v>570</v>
      </c>
      <c r="B576" t="s">
        <v>477</v>
      </c>
      <c r="C576">
        <v>1</v>
      </c>
      <c r="D576" s="1">
        <v>45707</v>
      </c>
      <c r="E576">
        <v>3.38</v>
      </c>
      <c r="F576">
        <v>0</v>
      </c>
    </row>
    <row r="577" spans="1:6">
      <c r="A577">
        <v>571</v>
      </c>
      <c r="B577" t="s">
        <v>468</v>
      </c>
      <c r="C577">
        <v>1</v>
      </c>
      <c r="D577" s="1">
        <v>45707</v>
      </c>
      <c r="E577">
        <v>7.95</v>
      </c>
      <c r="F577">
        <v>0</v>
      </c>
    </row>
    <row r="578" spans="1:6">
      <c r="A578">
        <v>572</v>
      </c>
      <c r="B578" t="s">
        <v>803</v>
      </c>
      <c r="C578">
        <v>1</v>
      </c>
      <c r="D578" s="1">
        <v>45708</v>
      </c>
      <c r="E578">
        <v>53.95</v>
      </c>
      <c r="F578">
        <v>0</v>
      </c>
    </row>
    <row r="579" spans="1:6">
      <c r="A579">
        <v>573</v>
      </c>
      <c r="B579" t="s">
        <v>882</v>
      </c>
      <c r="C579">
        <v>1</v>
      </c>
      <c r="D579" s="1">
        <v>45708</v>
      </c>
      <c r="E579">
        <v>58.92</v>
      </c>
      <c r="F579">
        <v>0</v>
      </c>
    </row>
    <row r="580" spans="1:6">
      <c r="A580">
        <v>574</v>
      </c>
      <c r="B580" t="s">
        <v>469</v>
      </c>
      <c r="C580">
        <v>2</v>
      </c>
      <c r="D580" s="1">
        <v>45708</v>
      </c>
      <c r="E580">
        <v>7.95</v>
      </c>
      <c r="F580">
        <v>0</v>
      </c>
    </row>
    <row r="581" spans="1:6">
      <c r="A581">
        <v>575</v>
      </c>
      <c r="B581" t="s">
        <v>479</v>
      </c>
      <c r="C581">
        <v>1</v>
      </c>
      <c r="D581" s="1">
        <v>45708</v>
      </c>
      <c r="E581">
        <v>2.9</v>
      </c>
      <c r="F581">
        <v>0</v>
      </c>
    </row>
    <row r="582" spans="1:6">
      <c r="A582">
        <v>576</v>
      </c>
      <c r="B582" t="s">
        <v>449</v>
      </c>
      <c r="C582">
        <v>2</v>
      </c>
      <c r="D582" s="1">
        <v>45709</v>
      </c>
      <c r="E582">
        <v>2.8</v>
      </c>
      <c r="F582">
        <v>0</v>
      </c>
    </row>
    <row r="583" spans="1:6">
      <c r="A583">
        <v>577</v>
      </c>
      <c r="B583" t="s">
        <v>479</v>
      </c>
      <c r="C583">
        <v>1</v>
      </c>
      <c r="D583" s="1">
        <v>45709</v>
      </c>
      <c r="E583">
        <v>2.9</v>
      </c>
      <c r="F583">
        <v>0</v>
      </c>
    </row>
    <row r="584" spans="1:6">
      <c r="A584">
        <v>578</v>
      </c>
      <c r="B584" t="s">
        <v>820</v>
      </c>
      <c r="C584">
        <v>1</v>
      </c>
      <c r="D584" s="1">
        <v>45712</v>
      </c>
      <c r="E584">
        <v>73.5</v>
      </c>
      <c r="F584">
        <v>0</v>
      </c>
    </row>
    <row r="585" spans="1:6">
      <c r="A585">
        <v>579</v>
      </c>
      <c r="B585" t="s">
        <v>803</v>
      </c>
      <c r="C585">
        <v>1</v>
      </c>
      <c r="D585" s="1">
        <v>45712</v>
      </c>
      <c r="E585">
        <v>53.95</v>
      </c>
      <c r="F585">
        <v>0</v>
      </c>
    </row>
    <row r="586" spans="1:6">
      <c r="A586">
        <v>580</v>
      </c>
      <c r="B586" t="s">
        <v>968</v>
      </c>
      <c r="C586">
        <v>1</v>
      </c>
      <c r="D586" s="1">
        <v>45713</v>
      </c>
      <c r="E586">
        <v>4.79</v>
      </c>
      <c r="F586">
        <v>0</v>
      </c>
    </row>
    <row r="587" spans="1:6">
      <c r="A587">
        <v>581</v>
      </c>
      <c r="B587" t="s">
        <v>471</v>
      </c>
      <c r="C587">
        <v>1</v>
      </c>
      <c r="D587" s="1">
        <v>45714</v>
      </c>
      <c r="E587">
        <v>316.44</v>
      </c>
      <c r="F587">
        <v>0</v>
      </c>
    </row>
    <row r="588" spans="1:6">
      <c r="A588">
        <v>582</v>
      </c>
      <c r="B588" t="s">
        <v>886</v>
      </c>
      <c r="C588">
        <v>1</v>
      </c>
      <c r="D588" s="1">
        <v>45714</v>
      </c>
      <c r="E588">
        <v>35.75</v>
      </c>
      <c r="F588">
        <v>0</v>
      </c>
    </row>
    <row r="589" spans="1:6">
      <c r="A589">
        <v>583</v>
      </c>
      <c r="B589" t="s">
        <v>803</v>
      </c>
      <c r="C589">
        <v>1</v>
      </c>
      <c r="D589" s="1">
        <v>45714</v>
      </c>
      <c r="E589">
        <v>53.95</v>
      </c>
      <c r="F589">
        <v>0</v>
      </c>
    </row>
    <row r="590" spans="1:6">
      <c r="A590">
        <v>584</v>
      </c>
      <c r="B590" t="s">
        <v>477</v>
      </c>
      <c r="C590">
        <v>5</v>
      </c>
      <c r="D590" s="1">
        <v>45714</v>
      </c>
      <c r="E590">
        <v>3.38</v>
      </c>
      <c r="F590">
        <v>0</v>
      </c>
    </row>
    <row r="591" spans="1:6">
      <c r="A591">
        <v>587</v>
      </c>
      <c r="B591" t="s">
        <v>468</v>
      </c>
      <c r="C591">
        <v>13</v>
      </c>
      <c r="D591" s="1">
        <v>45714</v>
      </c>
      <c r="E591">
        <v>7.95</v>
      </c>
      <c r="F591">
        <v>0</v>
      </c>
    </row>
    <row r="592" spans="1:6">
      <c r="A592">
        <v>589</v>
      </c>
      <c r="B592" t="s">
        <v>886</v>
      </c>
      <c r="C592">
        <v>9</v>
      </c>
      <c r="D592" s="1">
        <v>45714</v>
      </c>
      <c r="E592">
        <v>35.75</v>
      </c>
      <c r="F592">
        <v>0</v>
      </c>
    </row>
    <row r="593" spans="1:6">
      <c r="A593">
        <v>590</v>
      </c>
      <c r="B593" t="s">
        <v>800</v>
      </c>
      <c r="C593">
        <v>0</v>
      </c>
      <c r="D593" s="1">
        <v>45714</v>
      </c>
      <c r="E593">
        <v>24.1</v>
      </c>
      <c r="F593">
        <v>0</v>
      </c>
    </row>
    <row r="594" spans="1:6">
      <c r="A594">
        <v>591</v>
      </c>
      <c r="B594" t="s">
        <v>468</v>
      </c>
      <c r="C594">
        <v>6</v>
      </c>
      <c r="D594" s="1">
        <v>45714</v>
      </c>
      <c r="E594">
        <v>7.95</v>
      </c>
      <c r="F594">
        <v>0</v>
      </c>
    </row>
    <row r="595" spans="1:6">
      <c r="A595">
        <v>592</v>
      </c>
      <c r="B595" t="s">
        <v>477</v>
      </c>
      <c r="C595">
        <v>6</v>
      </c>
      <c r="D595" s="1">
        <v>45714</v>
      </c>
      <c r="E595">
        <v>3.38</v>
      </c>
      <c r="F595">
        <v>0</v>
      </c>
    </row>
    <row r="596" spans="1:6">
      <c r="A596">
        <v>593</v>
      </c>
      <c r="B596" t="s">
        <v>772</v>
      </c>
      <c r="C596">
        <v>1</v>
      </c>
      <c r="D596" s="1">
        <v>45714</v>
      </c>
      <c r="E596">
        <v>34.69</v>
      </c>
      <c r="F596">
        <v>0</v>
      </c>
    </row>
    <row r="597" spans="1:6">
      <c r="A597">
        <v>594</v>
      </c>
      <c r="B597" t="s">
        <v>803</v>
      </c>
      <c r="C597">
        <v>1</v>
      </c>
      <c r="D597" s="1">
        <v>45714</v>
      </c>
      <c r="E597">
        <v>53.95</v>
      </c>
      <c r="F597">
        <v>0</v>
      </c>
    </row>
    <row r="598" spans="1:6">
      <c r="A598">
        <v>595</v>
      </c>
      <c r="B598" t="s">
        <v>327</v>
      </c>
      <c r="C598">
        <v>1</v>
      </c>
      <c r="D598" s="1">
        <v>45714</v>
      </c>
      <c r="E598">
        <v>547.4</v>
      </c>
      <c r="F598">
        <v>0</v>
      </c>
    </row>
    <row r="599" spans="1:6">
      <c r="A599">
        <v>780</v>
      </c>
      <c r="B599" t="s">
        <v>461</v>
      </c>
      <c r="C599">
        <v>1</v>
      </c>
      <c r="D599" s="1">
        <v>45714</v>
      </c>
      <c r="E599">
        <v>74.06</v>
      </c>
      <c r="F599">
        <v>0</v>
      </c>
    </row>
    <row r="600" spans="1:6">
      <c r="A600">
        <v>596</v>
      </c>
      <c r="B600" t="s">
        <v>468</v>
      </c>
      <c r="C600">
        <v>1</v>
      </c>
      <c r="D600" s="1">
        <v>45715</v>
      </c>
      <c r="E600">
        <v>7.95</v>
      </c>
      <c r="F600">
        <v>0</v>
      </c>
    </row>
    <row r="601" spans="1:6">
      <c r="A601">
        <v>597</v>
      </c>
      <c r="B601" t="s">
        <v>803</v>
      </c>
      <c r="C601">
        <v>1</v>
      </c>
      <c r="D601" s="1">
        <v>45716</v>
      </c>
      <c r="E601">
        <v>53.95</v>
      </c>
      <c r="F601">
        <v>0</v>
      </c>
    </row>
    <row r="602" spans="1:6">
      <c r="A602">
        <v>598</v>
      </c>
      <c r="B602" t="s">
        <v>952</v>
      </c>
      <c r="C602" t="s">
        <v>1010</v>
      </c>
      <c r="D602" s="1">
        <v>45716</v>
      </c>
      <c r="E602">
        <v>22.36</v>
      </c>
      <c r="F602">
        <v>0</v>
      </c>
    </row>
    <row r="603" spans="1:6">
      <c r="A603">
        <v>599</v>
      </c>
      <c r="B603" t="s">
        <v>491</v>
      </c>
      <c r="C603">
        <v>1</v>
      </c>
      <c r="D603" s="1">
        <v>45719</v>
      </c>
      <c r="E603">
        <v>8</v>
      </c>
      <c r="F603">
        <v>0</v>
      </c>
    </row>
    <row r="604" spans="1:6">
      <c r="A604">
        <v>600</v>
      </c>
      <c r="B604" t="s">
        <v>471</v>
      </c>
      <c r="C604">
        <v>1</v>
      </c>
      <c r="D604" s="1">
        <v>45720</v>
      </c>
      <c r="E604">
        <v>316.44</v>
      </c>
      <c r="F604">
        <v>0</v>
      </c>
    </row>
    <row r="605" spans="1:6">
      <c r="A605">
        <v>601</v>
      </c>
      <c r="B605" t="s">
        <v>886</v>
      </c>
      <c r="C605">
        <v>1</v>
      </c>
      <c r="D605" s="1">
        <v>45720</v>
      </c>
      <c r="E605">
        <v>35.75</v>
      </c>
      <c r="F605">
        <v>0</v>
      </c>
    </row>
    <row r="606" spans="1:6">
      <c r="A606">
        <v>602</v>
      </c>
      <c r="B606" t="s">
        <v>838</v>
      </c>
      <c r="C606">
        <v>1</v>
      </c>
      <c r="D606" s="1">
        <v>45720</v>
      </c>
      <c r="E606">
        <v>391</v>
      </c>
      <c r="F606">
        <v>0</v>
      </c>
    </row>
    <row r="607" spans="1:6">
      <c r="A607">
        <v>603</v>
      </c>
      <c r="B607" t="s">
        <v>803</v>
      </c>
      <c r="C607">
        <v>1</v>
      </c>
      <c r="D607" s="1">
        <v>45720</v>
      </c>
      <c r="E607">
        <v>53.95</v>
      </c>
      <c r="F607">
        <v>0</v>
      </c>
    </row>
    <row r="608" spans="1:6">
      <c r="A608">
        <v>604</v>
      </c>
      <c r="B608" t="s">
        <v>468</v>
      </c>
      <c r="C608">
        <v>1</v>
      </c>
      <c r="D608" s="1">
        <v>45721</v>
      </c>
      <c r="E608">
        <v>7.95</v>
      </c>
      <c r="F608">
        <v>0</v>
      </c>
    </row>
    <row r="609" spans="1:6">
      <c r="A609">
        <v>605</v>
      </c>
      <c r="B609" t="s">
        <v>886</v>
      </c>
      <c r="C609">
        <v>1</v>
      </c>
      <c r="D609" s="1">
        <v>45722</v>
      </c>
      <c r="E609">
        <v>35.75</v>
      </c>
      <c r="F609">
        <v>0</v>
      </c>
    </row>
    <row r="610" spans="1:6">
      <c r="A610">
        <v>606</v>
      </c>
      <c r="B610" t="s">
        <v>800</v>
      </c>
      <c r="C610">
        <v>1</v>
      </c>
      <c r="D610" s="1">
        <v>45722</v>
      </c>
      <c r="E610">
        <v>24.1</v>
      </c>
      <c r="F610">
        <v>0</v>
      </c>
    </row>
    <row r="611" spans="1:6">
      <c r="A611">
        <v>607</v>
      </c>
      <c r="B611" t="s">
        <v>803</v>
      </c>
      <c r="C611">
        <v>1</v>
      </c>
      <c r="D611" s="1">
        <v>45722</v>
      </c>
      <c r="E611">
        <v>53.95</v>
      </c>
      <c r="F611">
        <v>0</v>
      </c>
    </row>
    <row r="612" spans="1:6">
      <c r="A612">
        <v>608</v>
      </c>
      <c r="B612" t="s">
        <v>803</v>
      </c>
      <c r="C612">
        <v>1</v>
      </c>
      <c r="D612" s="1">
        <v>45726</v>
      </c>
      <c r="E612">
        <v>53.95</v>
      </c>
      <c r="F612">
        <v>0</v>
      </c>
    </row>
    <row r="613" spans="1:6">
      <c r="A613">
        <v>609</v>
      </c>
      <c r="B613" t="s">
        <v>795</v>
      </c>
      <c r="C613">
        <v>1</v>
      </c>
      <c r="D613" s="1">
        <v>45727</v>
      </c>
      <c r="E613">
        <v>776.9</v>
      </c>
      <c r="F613">
        <v>0</v>
      </c>
    </row>
    <row r="614" spans="1:6">
      <c r="A614">
        <v>610</v>
      </c>
      <c r="B614" t="s">
        <v>424</v>
      </c>
      <c r="C614">
        <v>1</v>
      </c>
      <c r="D614" s="1">
        <v>45727</v>
      </c>
      <c r="E614">
        <v>560.78</v>
      </c>
      <c r="F614">
        <v>0</v>
      </c>
    </row>
    <row r="615" spans="1:6">
      <c r="A615">
        <v>611</v>
      </c>
      <c r="B615" t="s">
        <v>886</v>
      </c>
      <c r="C615">
        <v>1</v>
      </c>
      <c r="D615" s="1">
        <v>45727</v>
      </c>
      <c r="E615">
        <v>35.75</v>
      </c>
      <c r="F615">
        <v>0</v>
      </c>
    </row>
    <row r="616" spans="1:6">
      <c r="A616">
        <v>871</v>
      </c>
      <c r="B616" t="s">
        <v>795</v>
      </c>
      <c r="C616">
        <v>1</v>
      </c>
      <c r="D616" s="1">
        <v>45727</v>
      </c>
      <c r="E616">
        <v>776.9</v>
      </c>
      <c r="F616">
        <v>0</v>
      </c>
    </row>
    <row r="617" spans="1:6">
      <c r="A617">
        <v>612</v>
      </c>
      <c r="B617" t="s">
        <v>489</v>
      </c>
      <c r="C617">
        <v>1</v>
      </c>
      <c r="D617" s="1">
        <v>45728</v>
      </c>
      <c r="E617">
        <v>697.62</v>
      </c>
      <c r="F617">
        <v>0</v>
      </c>
    </row>
    <row r="618" spans="1:6">
      <c r="A618">
        <v>613</v>
      </c>
      <c r="B618" t="s">
        <v>800</v>
      </c>
      <c r="C618">
        <v>2</v>
      </c>
      <c r="D618" s="1">
        <v>45728</v>
      </c>
      <c r="E618">
        <v>24.1</v>
      </c>
      <c r="F618">
        <v>0</v>
      </c>
    </row>
    <row r="619" spans="1:6">
      <c r="A619">
        <v>614</v>
      </c>
      <c r="B619" t="s">
        <v>456</v>
      </c>
      <c r="C619">
        <v>1</v>
      </c>
      <c r="D619" s="1">
        <v>45729</v>
      </c>
      <c r="E619">
        <v>176</v>
      </c>
      <c r="F619">
        <v>0</v>
      </c>
    </row>
    <row r="620" spans="1:6">
      <c r="A620">
        <v>615</v>
      </c>
      <c r="B620" t="s">
        <v>456</v>
      </c>
      <c r="C620">
        <v>1</v>
      </c>
      <c r="D620" s="1">
        <v>45729</v>
      </c>
      <c r="E620">
        <v>176</v>
      </c>
      <c r="F620">
        <v>0</v>
      </c>
    </row>
    <row r="621" spans="1:6">
      <c r="A621">
        <v>616</v>
      </c>
      <c r="B621" t="s">
        <v>886</v>
      </c>
      <c r="C621">
        <v>1</v>
      </c>
      <c r="D621" s="1">
        <v>45729</v>
      </c>
      <c r="E621">
        <v>35.75</v>
      </c>
      <c r="F621">
        <v>0</v>
      </c>
    </row>
    <row r="622" spans="1:6">
      <c r="A622">
        <v>617</v>
      </c>
      <c r="B622" t="s">
        <v>823</v>
      </c>
      <c r="C622">
        <v>20</v>
      </c>
      <c r="D622" s="1">
        <v>45735</v>
      </c>
      <c r="E622">
        <v>27.1</v>
      </c>
      <c r="F622">
        <v>0</v>
      </c>
    </row>
    <row r="623" spans="1:6">
      <c r="A623">
        <v>618</v>
      </c>
      <c r="B623" t="s">
        <v>803</v>
      </c>
      <c r="C623">
        <v>3</v>
      </c>
      <c r="D623" s="1">
        <v>45735</v>
      </c>
      <c r="E623">
        <v>53.95</v>
      </c>
      <c r="F623">
        <v>0</v>
      </c>
    </row>
    <row r="624" spans="1:6">
      <c r="A624">
        <v>619</v>
      </c>
      <c r="B624" t="s">
        <v>968</v>
      </c>
      <c r="C624">
        <v>1</v>
      </c>
      <c r="D624" s="1">
        <v>45735</v>
      </c>
      <c r="E624">
        <v>4.79</v>
      </c>
      <c r="F624">
        <v>0</v>
      </c>
    </row>
    <row r="625" spans="1:6">
      <c r="A625">
        <v>885</v>
      </c>
      <c r="B625" t="s">
        <v>461</v>
      </c>
      <c r="C625">
        <v>1</v>
      </c>
      <c r="D625" s="1">
        <v>45736</v>
      </c>
      <c r="E625">
        <v>74.06</v>
      </c>
      <c r="F625">
        <v>0</v>
      </c>
    </row>
    <row r="626" spans="1:6">
      <c r="A626">
        <v>886</v>
      </c>
      <c r="B626" t="s">
        <v>887</v>
      </c>
      <c r="C626">
        <v>1</v>
      </c>
      <c r="D626" s="1">
        <v>45736</v>
      </c>
      <c r="E626">
        <v>412</v>
      </c>
      <c r="F626">
        <v>0</v>
      </c>
    </row>
    <row r="627" spans="1:6">
      <c r="A627">
        <v>620</v>
      </c>
      <c r="B627" t="s">
        <v>803</v>
      </c>
      <c r="C627">
        <v>1</v>
      </c>
      <c r="D627" s="1">
        <v>45737</v>
      </c>
      <c r="E627">
        <v>53.95</v>
      </c>
      <c r="F627">
        <v>0</v>
      </c>
    </row>
    <row r="628" spans="1:6">
      <c r="A628">
        <v>621</v>
      </c>
      <c r="B628" t="s">
        <v>455</v>
      </c>
      <c r="C628">
        <v>1</v>
      </c>
      <c r="D628" s="1">
        <v>45737</v>
      </c>
      <c r="E628">
        <v>80</v>
      </c>
      <c r="F628">
        <v>0</v>
      </c>
    </row>
    <row r="629" spans="1:6">
      <c r="A629">
        <v>622</v>
      </c>
      <c r="B629" t="s">
        <v>468</v>
      </c>
      <c r="C629">
        <v>8</v>
      </c>
      <c r="D629" s="1">
        <v>45740</v>
      </c>
      <c r="E629">
        <v>7.95</v>
      </c>
      <c r="F629">
        <v>0</v>
      </c>
    </row>
    <row r="630" spans="1:6">
      <c r="A630">
        <v>625</v>
      </c>
      <c r="B630" t="s">
        <v>471</v>
      </c>
      <c r="C630">
        <v>1</v>
      </c>
      <c r="D630" s="1">
        <v>45740</v>
      </c>
      <c r="E630">
        <v>316.44</v>
      </c>
      <c r="F630">
        <v>0</v>
      </c>
    </row>
    <row r="631" spans="1:6">
      <c r="A631">
        <v>623</v>
      </c>
      <c r="B631" t="s">
        <v>800</v>
      </c>
      <c r="C631">
        <v>1</v>
      </c>
      <c r="D631" s="1">
        <v>45741</v>
      </c>
      <c r="E631">
        <v>24.1</v>
      </c>
      <c r="F631">
        <v>0</v>
      </c>
    </row>
    <row r="632" spans="1:6">
      <c r="A632">
        <v>624</v>
      </c>
      <c r="B632" t="s">
        <v>803</v>
      </c>
      <c r="C632">
        <v>1</v>
      </c>
      <c r="D632" s="1">
        <v>45741</v>
      </c>
      <c r="E632">
        <v>53.95</v>
      </c>
      <c r="F632">
        <v>0</v>
      </c>
    </row>
    <row r="633" spans="1:6">
      <c r="A633">
        <v>626</v>
      </c>
      <c r="B633" t="s">
        <v>886</v>
      </c>
      <c r="C633">
        <v>1</v>
      </c>
      <c r="D633" s="1">
        <v>45743</v>
      </c>
      <c r="E633">
        <v>35.75</v>
      </c>
      <c r="F633">
        <v>0</v>
      </c>
    </row>
    <row r="634" spans="1:6">
      <c r="A634">
        <v>627</v>
      </c>
      <c r="B634" t="s">
        <v>800</v>
      </c>
      <c r="C634">
        <v>1</v>
      </c>
      <c r="D634" s="1">
        <v>45743</v>
      </c>
      <c r="E634">
        <v>24.1</v>
      </c>
      <c r="F634">
        <v>0</v>
      </c>
    </row>
    <row r="635" spans="1:6">
      <c r="A635">
        <v>628</v>
      </c>
      <c r="B635" t="s">
        <v>803</v>
      </c>
      <c r="C635">
        <v>1</v>
      </c>
      <c r="D635" s="1">
        <v>45743</v>
      </c>
      <c r="E635">
        <v>53.95</v>
      </c>
      <c r="F635">
        <v>0</v>
      </c>
    </row>
    <row r="636" spans="1:6">
      <c r="A636">
        <v>629</v>
      </c>
      <c r="B636" t="s">
        <v>800</v>
      </c>
      <c r="C636">
        <v>5</v>
      </c>
      <c r="D636" s="1">
        <v>45747</v>
      </c>
      <c r="E636">
        <v>24.1</v>
      </c>
      <c r="F636">
        <v>0</v>
      </c>
    </row>
    <row r="637" spans="1:6">
      <c r="A637">
        <v>630</v>
      </c>
      <c r="B637" t="s">
        <v>471</v>
      </c>
      <c r="C637">
        <v>4</v>
      </c>
      <c r="D637" s="1">
        <v>45747</v>
      </c>
      <c r="E637">
        <v>316.44</v>
      </c>
      <c r="F637">
        <v>0</v>
      </c>
    </row>
    <row r="638" spans="1:6">
      <c r="A638">
        <v>631</v>
      </c>
      <c r="B638" t="s">
        <v>466</v>
      </c>
      <c r="C638">
        <v>1</v>
      </c>
      <c r="D638" s="1">
        <v>45747</v>
      </c>
      <c r="E638">
        <v>390</v>
      </c>
      <c r="F638">
        <v>0</v>
      </c>
    </row>
    <row r="639" spans="1:6">
      <c r="A639">
        <v>632</v>
      </c>
      <c r="B639" t="s">
        <v>468</v>
      </c>
      <c r="C639">
        <v>1</v>
      </c>
      <c r="D639" s="1">
        <v>45748</v>
      </c>
      <c r="E639">
        <v>7.95</v>
      </c>
      <c r="F639">
        <v>0</v>
      </c>
    </row>
    <row r="640" spans="1:6">
      <c r="A640">
        <v>633</v>
      </c>
      <c r="B640" t="s">
        <v>886</v>
      </c>
      <c r="C640">
        <v>2</v>
      </c>
      <c r="D640" s="1">
        <v>45748</v>
      </c>
      <c r="E640">
        <v>35.75</v>
      </c>
      <c r="F640">
        <v>0</v>
      </c>
    </row>
    <row r="641" spans="1:6">
      <c r="A641">
        <v>634</v>
      </c>
      <c r="B641" t="s">
        <v>800</v>
      </c>
      <c r="C641">
        <v>1</v>
      </c>
      <c r="D641" s="1">
        <v>45748</v>
      </c>
      <c r="E641">
        <v>24.1</v>
      </c>
      <c r="F641">
        <v>0</v>
      </c>
    </row>
    <row r="642" spans="1:6">
      <c r="A642">
        <v>653</v>
      </c>
      <c r="B642" t="s">
        <v>471</v>
      </c>
      <c r="C642">
        <v>1</v>
      </c>
      <c r="D642" s="1">
        <v>45748</v>
      </c>
      <c r="E642">
        <v>316.44</v>
      </c>
      <c r="F642">
        <v>0</v>
      </c>
    </row>
    <row r="643" spans="1:6">
      <c r="A643">
        <v>850</v>
      </c>
      <c r="B643" t="s">
        <v>485</v>
      </c>
      <c r="C643">
        <v>1</v>
      </c>
      <c r="D643" s="1">
        <v>45748</v>
      </c>
      <c r="E643">
        <v>111.4</v>
      </c>
      <c r="F643">
        <v>0</v>
      </c>
    </row>
    <row r="644" spans="1:6">
      <c r="A644">
        <v>635</v>
      </c>
      <c r="B644" t="s">
        <v>886</v>
      </c>
      <c r="C644">
        <v>2</v>
      </c>
      <c r="D644" s="1">
        <v>45751</v>
      </c>
      <c r="E644">
        <v>35.75</v>
      </c>
      <c r="F644">
        <v>0</v>
      </c>
    </row>
    <row r="645" spans="1:6">
      <c r="A645">
        <v>636</v>
      </c>
      <c r="B645" t="s">
        <v>800</v>
      </c>
      <c r="C645">
        <v>2</v>
      </c>
      <c r="D645" s="1">
        <v>45751</v>
      </c>
      <c r="E645">
        <v>24.1</v>
      </c>
      <c r="F645">
        <v>0</v>
      </c>
    </row>
    <row r="646" spans="1:6">
      <c r="A646">
        <v>637</v>
      </c>
      <c r="B646" t="s">
        <v>469</v>
      </c>
      <c r="C646">
        <v>2</v>
      </c>
      <c r="D646" s="1">
        <v>45755</v>
      </c>
      <c r="E646">
        <v>7.95</v>
      </c>
      <c r="F646">
        <v>0</v>
      </c>
    </row>
    <row r="647" spans="1:6">
      <c r="A647">
        <v>638</v>
      </c>
      <c r="B647" t="s">
        <v>886</v>
      </c>
      <c r="C647">
        <v>2</v>
      </c>
      <c r="D647" s="1">
        <v>45755</v>
      </c>
      <c r="E647">
        <v>35.75</v>
      </c>
      <c r="F647">
        <v>0</v>
      </c>
    </row>
    <row r="648" spans="1:6">
      <c r="A648">
        <v>639</v>
      </c>
      <c r="B648" t="s">
        <v>800</v>
      </c>
      <c r="C648">
        <v>2</v>
      </c>
      <c r="D648" s="1">
        <v>45755</v>
      </c>
      <c r="E648">
        <v>24.1</v>
      </c>
      <c r="F648">
        <v>0</v>
      </c>
    </row>
    <row r="649" spans="1:6">
      <c r="A649">
        <v>640</v>
      </c>
      <c r="B649" t="s">
        <v>803</v>
      </c>
      <c r="C649">
        <v>3</v>
      </c>
      <c r="D649" s="1">
        <v>45755</v>
      </c>
      <c r="E649">
        <v>53.95</v>
      </c>
      <c r="F649">
        <v>0</v>
      </c>
    </row>
    <row r="650" spans="1:6">
      <c r="A650">
        <v>641</v>
      </c>
      <c r="B650" t="s">
        <v>803</v>
      </c>
      <c r="C650">
        <v>1</v>
      </c>
      <c r="D650" s="1">
        <v>45755</v>
      </c>
      <c r="E650">
        <v>53.95</v>
      </c>
      <c r="F650">
        <v>0</v>
      </c>
    </row>
    <row r="651" spans="1:6">
      <c r="A651">
        <v>642</v>
      </c>
      <c r="B651" t="s">
        <v>886</v>
      </c>
      <c r="C651">
        <v>1</v>
      </c>
      <c r="D651" s="1">
        <v>45756</v>
      </c>
      <c r="E651">
        <v>35.75</v>
      </c>
      <c r="F651">
        <v>0</v>
      </c>
    </row>
    <row r="652" spans="1:6">
      <c r="A652">
        <v>643</v>
      </c>
      <c r="B652" t="s">
        <v>886</v>
      </c>
      <c r="C652">
        <v>1</v>
      </c>
      <c r="D652" s="1">
        <v>45756</v>
      </c>
      <c r="E652">
        <v>35.75</v>
      </c>
      <c r="F652">
        <v>0</v>
      </c>
    </row>
    <row r="653" spans="1:6">
      <c r="A653">
        <v>644</v>
      </c>
      <c r="B653" t="s">
        <v>471</v>
      </c>
      <c r="C653">
        <v>1</v>
      </c>
      <c r="D653" s="1">
        <v>45756</v>
      </c>
      <c r="E653">
        <v>316.44</v>
      </c>
      <c r="F653">
        <v>0</v>
      </c>
    </row>
    <row r="654" spans="1:6">
      <c r="A654">
        <v>654</v>
      </c>
      <c r="B654" t="s">
        <v>471</v>
      </c>
      <c r="C654">
        <v>1</v>
      </c>
      <c r="D654" s="1">
        <v>45757</v>
      </c>
      <c r="E654">
        <v>316.44</v>
      </c>
      <c r="F654">
        <v>0</v>
      </c>
    </row>
    <row r="655" spans="1:6">
      <c r="A655">
        <v>645</v>
      </c>
      <c r="B655" t="s">
        <v>800</v>
      </c>
      <c r="C655">
        <v>1</v>
      </c>
      <c r="D655" s="1">
        <v>45761</v>
      </c>
      <c r="E655">
        <v>24.1</v>
      </c>
      <c r="F655">
        <v>0</v>
      </c>
    </row>
    <row r="656" spans="1:6">
      <c r="A656">
        <v>646</v>
      </c>
      <c r="B656" t="s">
        <v>800</v>
      </c>
      <c r="C656">
        <v>1</v>
      </c>
      <c r="D656" s="1">
        <v>45763</v>
      </c>
      <c r="E656">
        <v>24.1</v>
      </c>
      <c r="F656">
        <v>0</v>
      </c>
    </row>
    <row r="657" spans="1:6">
      <c r="A657">
        <v>647</v>
      </c>
      <c r="B657" t="s">
        <v>886</v>
      </c>
      <c r="C657">
        <v>1</v>
      </c>
      <c r="D657" s="1">
        <v>45763</v>
      </c>
      <c r="E657">
        <v>35.75</v>
      </c>
      <c r="F657">
        <v>0</v>
      </c>
    </row>
    <row r="658" spans="1:6">
      <c r="A658">
        <v>648</v>
      </c>
      <c r="B658" t="s">
        <v>471</v>
      </c>
      <c r="C658">
        <v>1</v>
      </c>
      <c r="D658" s="1">
        <v>45763</v>
      </c>
      <c r="E658">
        <v>316.44</v>
      </c>
      <c r="F658">
        <v>0</v>
      </c>
    </row>
    <row r="659" spans="1:6">
      <c r="A659">
        <v>649</v>
      </c>
      <c r="B659" t="s">
        <v>471</v>
      </c>
      <c r="C659">
        <v>2</v>
      </c>
      <c r="D659" s="1">
        <v>45763</v>
      </c>
      <c r="E659">
        <v>316.44</v>
      </c>
      <c r="F659">
        <v>0</v>
      </c>
    </row>
    <row r="660" spans="1:6">
      <c r="A660">
        <v>650</v>
      </c>
      <c r="B660" t="s">
        <v>468</v>
      </c>
      <c r="C660">
        <v>2</v>
      </c>
      <c r="D660" s="1">
        <v>45764</v>
      </c>
      <c r="E660">
        <v>7.95</v>
      </c>
      <c r="F660">
        <v>0</v>
      </c>
    </row>
    <row r="661" spans="1:6">
      <c r="A661">
        <v>651</v>
      </c>
      <c r="B661" t="s">
        <v>886</v>
      </c>
      <c r="C661">
        <v>2</v>
      </c>
      <c r="D661" s="1">
        <v>45764</v>
      </c>
      <c r="E661">
        <v>35.75</v>
      </c>
      <c r="F661">
        <v>0</v>
      </c>
    </row>
    <row r="662" spans="1:6">
      <c r="A662">
        <v>652</v>
      </c>
      <c r="B662" t="s">
        <v>800</v>
      </c>
      <c r="C662">
        <v>1</v>
      </c>
      <c r="D662" s="1">
        <v>45764</v>
      </c>
      <c r="E662">
        <v>24.1</v>
      </c>
      <c r="F662">
        <v>0</v>
      </c>
    </row>
    <row r="663" spans="1:6">
      <c r="A663">
        <v>863</v>
      </c>
      <c r="B663" t="s">
        <v>424</v>
      </c>
      <c r="C663">
        <v>1</v>
      </c>
      <c r="D663" s="1">
        <v>45764</v>
      </c>
      <c r="E663">
        <v>560.78</v>
      </c>
      <c r="F663">
        <v>0</v>
      </c>
    </row>
    <row r="664" spans="1:6">
      <c r="A664">
        <v>872</v>
      </c>
      <c r="B664" t="s">
        <v>795</v>
      </c>
      <c r="C664">
        <v>1</v>
      </c>
      <c r="D664" s="1">
        <v>45765</v>
      </c>
      <c r="E664">
        <v>776.9</v>
      </c>
      <c r="F664">
        <v>0</v>
      </c>
    </row>
    <row r="665" spans="1:6">
      <c r="A665">
        <v>655</v>
      </c>
      <c r="B665" t="s">
        <v>820</v>
      </c>
      <c r="C665">
        <v>1</v>
      </c>
      <c r="D665" s="1">
        <v>45768</v>
      </c>
      <c r="E665">
        <v>73.5</v>
      </c>
      <c r="F665">
        <v>0</v>
      </c>
    </row>
    <row r="666" spans="1:6">
      <c r="A666">
        <v>656</v>
      </c>
      <c r="B666" t="s">
        <v>803</v>
      </c>
      <c r="C666">
        <v>3</v>
      </c>
      <c r="D666" s="1">
        <v>45768</v>
      </c>
      <c r="E666">
        <v>53.95</v>
      </c>
      <c r="F666">
        <v>0</v>
      </c>
    </row>
    <row r="667" spans="1:6">
      <c r="A667">
        <v>657</v>
      </c>
      <c r="B667" t="s">
        <v>803</v>
      </c>
      <c r="C667">
        <v>1</v>
      </c>
      <c r="D667" s="1">
        <v>45769</v>
      </c>
      <c r="E667">
        <v>53.95</v>
      </c>
      <c r="F667">
        <v>0</v>
      </c>
    </row>
    <row r="668" spans="1:6">
      <c r="A668">
        <v>658</v>
      </c>
      <c r="B668" t="s">
        <v>886</v>
      </c>
      <c r="C668">
        <v>2</v>
      </c>
      <c r="D668" s="1">
        <v>45771</v>
      </c>
      <c r="E668">
        <v>35.75</v>
      </c>
      <c r="F668">
        <v>0</v>
      </c>
    </row>
    <row r="669" spans="1:6">
      <c r="A669">
        <v>659</v>
      </c>
      <c r="B669" t="s">
        <v>800</v>
      </c>
      <c r="C669">
        <v>2</v>
      </c>
      <c r="D669" s="1">
        <v>45771</v>
      </c>
      <c r="E669">
        <v>24.1</v>
      </c>
      <c r="F669">
        <v>0</v>
      </c>
    </row>
    <row r="670" spans="1:6">
      <c r="A670">
        <v>660</v>
      </c>
      <c r="B670" t="s">
        <v>800</v>
      </c>
      <c r="C670">
        <v>1</v>
      </c>
      <c r="D670" s="1">
        <v>45771</v>
      </c>
      <c r="E670">
        <v>24.1</v>
      </c>
      <c r="F670">
        <v>0</v>
      </c>
    </row>
    <row r="671" spans="1:6">
      <c r="A671">
        <v>661</v>
      </c>
      <c r="B671" t="s">
        <v>803</v>
      </c>
      <c r="C671">
        <v>1</v>
      </c>
      <c r="D671" s="1">
        <v>45771</v>
      </c>
      <c r="E671">
        <v>53.95</v>
      </c>
      <c r="F671">
        <v>0</v>
      </c>
    </row>
    <row r="672" spans="1:6">
      <c r="A672">
        <v>662</v>
      </c>
      <c r="B672" t="s">
        <v>968</v>
      </c>
      <c r="C672">
        <v>3</v>
      </c>
      <c r="D672" s="1">
        <v>45771</v>
      </c>
      <c r="E672">
        <v>4.79</v>
      </c>
      <c r="F672">
        <v>0</v>
      </c>
    </row>
    <row r="673" spans="1:6">
      <c r="A673">
        <v>663</v>
      </c>
      <c r="B673" t="s">
        <v>800</v>
      </c>
      <c r="C673">
        <v>1</v>
      </c>
      <c r="D673" s="1">
        <v>45771</v>
      </c>
      <c r="E673">
        <v>24.1</v>
      </c>
      <c r="F673">
        <v>0</v>
      </c>
    </row>
    <row r="674" spans="1:6">
      <c r="A674">
        <v>664</v>
      </c>
      <c r="B674" t="s">
        <v>800</v>
      </c>
      <c r="C674">
        <v>1</v>
      </c>
      <c r="D674" s="1">
        <v>45772</v>
      </c>
      <c r="E674">
        <v>24.1</v>
      </c>
      <c r="F674">
        <v>0</v>
      </c>
    </row>
    <row r="675" spans="1:6">
      <c r="A675">
        <v>665</v>
      </c>
      <c r="B675" t="s">
        <v>803</v>
      </c>
      <c r="C675">
        <v>1</v>
      </c>
      <c r="D675" s="1">
        <v>45775</v>
      </c>
      <c r="E675">
        <v>53.95</v>
      </c>
      <c r="F675">
        <v>0</v>
      </c>
    </row>
    <row r="676" spans="1:6">
      <c r="A676">
        <v>666</v>
      </c>
      <c r="B676" t="s">
        <v>838</v>
      </c>
      <c r="C676">
        <v>1</v>
      </c>
      <c r="D676" s="1">
        <v>45775</v>
      </c>
      <c r="E676">
        <v>391</v>
      </c>
      <c r="F676">
        <v>0</v>
      </c>
    </row>
    <row r="677" spans="1:6">
      <c r="A677">
        <v>667</v>
      </c>
      <c r="B677" t="s">
        <v>831</v>
      </c>
      <c r="C677">
        <v>1</v>
      </c>
      <c r="D677" s="1">
        <v>45775</v>
      </c>
      <c r="E677">
        <v>400</v>
      </c>
      <c r="F677">
        <v>0</v>
      </c>
    </row>
    <row r="678" spans="1:6">
      <c r="A678">
        <v>668</v>
      </c>
      <c r="B678" t="s">
        <v>469</v>
      </c>
      <c r="C678">
        <v>1</v>
      </c>
      <c r="D678" s="1">
        <v>45776</v>
      </c>
      <c r="E678">
        <v>7.95</v>
      </c>
      <c r="F678">
        <v>0</v>
      </c>
    </row>
    <row r="679" spans="1:6">
      <c r="A679">
        <v>669</v>
      </c>
      <c r="B679" t="s">
        <v>468</v>
      </c>
      <c r="C679">
        <v>3</v>
      </c>
      <c r="D679" s="1">
        <v>45776</v>
      </c>
      <c r="E679">
        <v>7.95</v>
      </c>
      <c r="F679">
        <v>0</v>
      </c>
    </row>
    <row r="680" spans="1:6">
      <c r="A680">
        <v>670</v>
      </c>
      <c r="B680" t="s">
        <v>477</v>
      </c>
      <c r="C680">
        <v>4</v>
      </c>
      <c r="D680" s="1">
        <v>45776</v>
      </c>
      <c r="E680">
        <v>3.38</v>
      </c>
      <c r="F680">
        <v>0</v>
      </c>
    </row>
    <row r="681" spans="1:6">
      <c r="A681">
        <v>671</v>
      </c>
      <c r="B681" t="s">
        <v>468</v>
      </c>
      <c r="C681">
        <v>2</v>
      </c>
      <c r="D681" s="1">
        <v>45776</v>
      </c>
      <c r="E681">
        <v>7.95</v>
      </c>
      <c r="F681">
        <v>0</v>
      </c>
    </row>
    <row r="682" spans="1:6">
      <c r="A682">
        <v>672</v>
      </c>
      <c r="B682" t="s">
        <v>803</v>
      </c>
      <c r="C682">
        <v>1</v>
      </c>
      <c r="D682" s="1">
        <v>45776</v>
      </c>
      <c r="E682">
        <v>53.95</v>
      </c>
      <c r="F682">
        <v>0</v>
      </c>
    </row>
    <row r="683" spans="1:6">
      <c r="A683">
        <v>673</v>
      </c>
      <c r="B683" t="s">
        <v>821</v>
      </c>
      <c r="C683">
        <v>1</v>
      </c>
      <c r="D683" s="1">
        <v>45776</v>
      </c>
      <c r="E683">
        <v>119</v>
      </c>
      <c r="F683">
        <v>0</v>
      </c>
    </row>
    <row r="684" spans="1:6">
      <c r="A684">
        <v>674</v>
      </c>
      <c r="B684" t="s">
        <v>468</v>
      </c>
      <c r="C684">
        <v>1</v>
      </c>
      <c r="D684" s="1">
        <v>45778</v>
      </c>
      <c r="E684">
        <v>7.95</v>
      </c>
      <c r="F684">
        <v>0</v>
      </c>
    </row>
    <row r="685" spans="1:6">
      <c r="A685">
        <v>675</v>
      </c>
      <c r="B685" t="s">
        <v>800</v>
      </c>
      <c r="C685">
        <v>1</v>
      </c>
      <c r="D685" s="1">
        <v>45778</v>
      </c>
      <c r="E685">
        <v>24.1</v>
      </c>
      <c r="F685">
        <v>0</v>
      </c>
    </row>
    <row r="686" spans="1:6">
      <c r="A686">
        <v>676</v>
      </c>
      <c r="B686" t="s">
        <v>886</v>
      </c>
      <c r="C686">
        <v>1</v>
      </c>
      <c r="D686" s="1">
        <v>45778</v>
      </c>
      <c r="E686">
        <v>35.75</v>
      </c>
      <c r="F686">
        <v>0</v>
      </c>
    </row>
    <row r="687" spans="1:6">
      <c r="A687">
        <v>677</v>
      </c>
      <c r="B687" t="s">
        <v>803</v>
      </c>
      <c r="C687">
        <v>1</v>
      </c>
      <c r="D687" s="1">
        <v>45778</v>
      </c>
      <c r="E687">
        <v>53.95</v>
      </c>
      <c r="F687">
        <v>0</v>
      </c>
    </row>
    <row r="688" spans="1:6">
      <c r="A688">
        <v>678</v>
      </c>
      <c r="B688" t="s">
        <v>803</v>
      </c>
      <c r="C688">
        <v>2</v>
      </c>
      <c r="D688" s="1">
        <v>45779</v>
      </c>
      <c r="E688">
        <v>53.95</v>
      </c>
      <c r="F688">
        <v>0</v>
      </c>
    </row>
    <row r="689" spans="1:6">
      <c r="A689">
        <v>679</v>
      </c>
      <c r="B689" t="s">
        <v>471</v>
      </c>
      <c r="C689">
        <v>1</v>
      </c>
      <c r="D689" s="1">
        <v>45782</v>
      </c>
      <c r="E689">
        <v>316.44</v>
      </c>
      <c r="F689">
        <v>0</v>
      </c>
    </row>
    <row r="690" spans="1:6">
      <c r="A690">
        <v>680</v>
      </c>
      <c r="B690" t="s">
        <v>886</v>
      </c>
      <c r="C690">
        <v>1</v>
      </c>
      <c r="D690" s="1">
        <v>45782</v>
      </c>
      <c r="E690">
        <v>35.75</v>
      </c>
      <c r="F690">
        <v>0</v>
      </c>
    </row>
    <row r="691" spans="1:6">
      <c r="A691">
        <v>681</v>
      </c>
      <c r="B691" t="s">
        <v>800</v>
      </c>
      <c r="C691">
        <v>1</v>
      </c>
      <c r="D691" s="1">
        <v>45782</v>
      </c>
      <c r="E691">
        <v>24.1</v>
      </c>
      <c r="F691">
        <v>0</v>
      </c>
    </row>
    <row r="692" spans="1:6">
      <c r="A692">
        <v>865</v>
      </c>
      <c r="B692" t="s">
        <v>424</v>
      </c>
      <c r="C692">
        <v>1</v>
      </c>
      <c r="D692" s="1">
        <v>45783</v>
      </c>
      <c r="E692">
        <v>560.78</v>
      </c>
      <c r="F692">
        <v>0</v>
      </c>
    </row>
    <row r="693" spans="1:6">
      <c r="A693">
        <v>682</v>
      </c>
      <c r="B693" t="s">
        <v>886</v>
      </c>
      <c r="C693">
        <v>1</v>
      </c>
      <c r="D693" s="1">
        <v>45784</v>
      </c>
      <c r="E693">
        <v>35.75</v>
      </c>
      <c r="F693">
        <v>0</v>
      </c>
    </row>
    <row r="694" spans="1:6">
      <c r="A694">
        <v>683</v>
      </c>
      <c r="B694" t="s">
        <v>800</v>
      </c>
      <c r="C694">
        <v>3</v>
      </c>
      <c r="D694" s="1">
        <v>45784</v>
      </c>
      <c r="E694">
        <v>24.1</v>
      </c>
      <c r="F694">
        <v>0</v>
      </c>
    </row>
    <row r="695" spans="1:6">
      <c r="A695">
        <v>793</v>
      </c>
      <c r="B695" t="s">
        <v>455</v>
      </c>
      <c r="C695">
        <v>1</v>
      </c>
      <c r="D695" s="1">
        <v>45784</v>
      </c>
      <c r="E695">
        <v>80</v>
      </c>
      <c r="F695">
        <v>0</v>
      </c>
    </row>
    <row r="696" spans="1:6">
      <c r="A696">
        <v>684</v>
      </c>
      <c r="B696" t="s">
        <v>800</v>
      </c>
      <c r="C696">
        <v>1</v>
      </c>
      <c r="D696" s="1">
        <v>45785</v>
      </c>
      <c r="E696">
        <v>24.1</v>
      </c>
      <c r="F696">
        <v>0</v>
      </c>
    </row>
    <row r="697" spans="1:6">
      <c r="A697">
        <v>685</v>
      </c>
      <c r="B697" t="s">
        <v>468</v>
      </c>
      <c r="C697">
        <v>1</v>
      </c>
      <c r="D697" s="1">
        <v>45786</v>
      </c>
      <c r="E697">
        <v>7.95</v>
      </c>
      <c r="F697">
        <v>0</v>
      </c>
    </row>
    <row r="698" spans="1:6">
      <c r="A698">
        <v>686</v>
      </c>
      <c r="B698" t="s">
        <v>469</v>
      </c>
      <c r="C698">
        <v>1</v>
      </c>
      <c r="D698" s="1">
        <v>45786</v>
      </c>
      <c r="E698">
        <v>7.95</v>
      </c>
      <c r="F698">
        <v>0</v>
      </c>
    </row>
    <row r="699" spans="1:6">
      <c r="A699">
        <v>687</v>
      </c>
      <c r="B699" t="s">
        <v>819</v>
      </c>
      <c r="C699">
        <v>1</v>
      </c>
      <c r="D699" s="1">
        <v>45789</v>
      </c>
      <c r="E699">
        <v>120</v>
      </c>
      <c r="F699">
        <v>0</v>
      </c>
    </row>
    <row r="700" spans="1:6">
      <c r="A700">
        <v>688</v>
      </c>
      <c r="B700" t="s">
        <v>803</v>
      </c>
      <c r="C700">
        <v>2</v>
      </c>
      <c r="D700" s="1">
        <v>45789</v>
      </c>
      <c r="E700">
        <v>53.95</v>
      </c>
      <c r="F700">
        <v>0</v>
      </c>
    </row>
    <row r="701" spans="1:6">
      <c r="A701">
        <v>689</v>
      </c>
      <c r="B701" t="s">
        <v>803</v>
      </c>
      <c r="C701">
        <v>1</v>
      </c>
      <c r="D701" s="1">
        <v>45789</v>
      </c>
      <c r="E701">
        <v>53.95</v>
      </c>
      <c r="F701">
        <v>0</v>
      </c>
    </row>
    <row r="702" spans="1:6">
      <c r="A702">
        <v>690</v>
      </c>
      <c r="B702" t="s">
        <v>804</v>
      </c>
      <c r="C702">
        <v>1</v>
      </c>
      <c r="D702" s="1">
        <v>45789</v>
      </c>
      <c r="E702">
        <v>28.95</v>
      </c>
      <c r="F702">
        <v>0</v>
      </c>
    </row>
    <row r="703" spans="1:6">
      <c r="A703">
        <v>691</v>
      </c>
      <c r="B703" t="s">
        <v>468</v>
      </c>
      <c r="C703">
        <v>1</v>
      </c>
      <c r="D703" s="1">
        <v>45791</v>
      </c>
      <c r="E703">
        <v>7.95</v>
      </c>
      <c r="F703">
        <v>0</v>
      </c>
    </row>
    <row r="704" spans="1:6">
      <c r="A704">
        <v>692</v>
      </c>
      <c r="B704" t="s">
        <v>468</v>
      </c>
      <c r="C704">
        <v>2</v>
      </c>
      <c r="D704" s="1">
        <v>45791</v>
      </c>
      <c r="E704">
        <v>7.95</v>
      </c>
      <c r="F704">
        <v>0</v>
      </c>
    </row>
    <row r="705" spans="1:6">
      <c r="A705">
        <v>693</v>
      </c>
      <c r="B705" t="s">
        <v>469</v>
      </c>
      <c r="C705">
        <v>1</v>
      </c>
      <c r="D705" s="1">
        <v>45791</v>
      </c>
      <c r="E705">
        <v>7.95</v>
      </c>
      <c r="F705">
        <v>0</v>
      </c>
    </row>
    <row r="706" spans="1:6">
      <c r="A706">
        <v>694</v>
      </c>
      <c r="B706" t="s">
        <v>800</v>
      </c>
      <c r="C706">
        <v>3</v>
      </c>
      <c r="D706" s="1">
        <v>45791</v>
      </c>
      <c r="E706">
        <v>24.1</v>
      </c>
      <c r="F706">
        <v>0</v>
      </c>
    </row>
    <row r="707" spans="1:6">
      <c r="A707">
        <v>695</v>
      </c>
      <c r="B707" t="s">
        <v>886</v>
      </c>
      <c r="C707">
        <v>1</v>
      </c>
      <c r="D707" s="1">
        <v>45791</v>
      </c>
      <c r="E707">
        <v>35.75</v>
      </c>
      <c r="F707">
        <v>0</v>
      </c>
    </row>
    <row r="708" spans="1:6">
      <c r="A708">
        <v>696</v>
      </c>
      <c r="B708" t="s">
        <v>469</v>
      </c>
      <c r="C708">
        <v>1</v>
      </c>
      <c r="D708" s="1">
        <v>45792</v>
      </c>
      <c r="E708">
        <v>7.95</v>
      </c>
      <c r="F708">
        <v>0</v>
      </c>
    </row>
    <row r="709" spans="1:6">
      <c r="A709">
        <v>697</v>
      </c>
      <c r="B709" t="s">
        <v>800</v>
      </c>
      <c r="C709">
        <v>1</v>
      </c>
      <c r="D709" s="1">
        <v>45793</v>
      </c>
      <c r="E709">
        <v>24.1</v>
      </c>
      <c r="F709">
        <v>0</v>
      </c>
    </row>
    <row r="710" spans="1:6">
      <c r="A710">
        <v>698</v>
      </c>
      <c r="B710" t="s">
        <v>968</v>
      </c>
      <c r="C710">
        <v>1</v>
      </c>
      <c r="D710" s="1">
        <v>45793</v>
      </c>
      <c r="E710">
        <v>4.79</v>
      </c>
      <c r="F710">
        <v>0</v>
      </c>
    </row>
    <row r="711" spans="1:6">
      <c r="A711">
        <v>699</v>
      </c>
      <c r="B711" t="s">
        <v>471</v>
      </c>
      <c r="C711">
        <v>1</v>
      </c>
      <c r="D711" s="1">
        <v>45797</v>
      </c>
      <c r="E711">
        <v>316.44</v>
      </c>
      <c r="F711">
        <v>0</v>
      </c>
    </row>
    <row r="712" spans="1:6">
      <c r="A712">
        <v>700</v>
      </c>
      <c r="B712" t="s">
        <v>486</v>
      </c>
      <c r="C712">
        <v>1</v>
      </c>
      <c r="D712" s="1">
        <v>45797</v>
      </c>
      <c r="E712">
        <v>108.27</v>
      </c>
      <c r="F712">
        <v>0</v>
      </c>
    </row>
    <row r="713" spans="1:6">
      <c r="A713">
        <v>702</v>
      </c>
      <c r="B713" t="s">
        <v>800</v>
      </c>
      <c r="C713">
        <v>1</v>
      </c>
      <c r="D713" s="1">
        <v>45797</v>
      </c>
      <c r="E713">
        <v>24.1</v>
      </c>
      <c r="F713">
        <v>0</v>
      </c>
    </row>
    <row r="714" spans="1:6">
      <c r="A714">
        <v>703</v>
      </c>
      <c r="B714" t="s">
        <v>804</v>
      </c>
      <c r="C714">
        <v>1</v>
      </c>
      <c r="D714" s="1">
        <v>45797</v>
      </c>
      <c r="E714">
        <v>28.95</v>
      </c>
      <c r="F714">
        <v>0</v>
      </c>
    </row>
    <row r="715" spans="1:6">
      <c r="A715">
        <v>704</v>
      </c>
      <c r="B715" t="s">
        <v>803</v>
      </c>
      <c r="C715">
        <v>1</v>
      </c>
      <c r="D715" s="1">
        <v>45797</v>
      </c>
      <c r="E715">
        <v>53.95</v>
      </c>
      <c r="F715">
        <v>0</v>
      </c>
    </row>
    <row r="716" spans="1:6">
      <c r="A716">
        <v>705</v>
      </c>
      <c r="B716" t="s">
        <v>800</v>
      </c>
      <c r="C716">
        <v>1</v>
      </c>
      <c r="D716" s="1">
        <v>45799</v>
      </c>
      <c r="E716">
        <v>24.1</v>
      </c>
      <c r="F716">
        <v>0</v>
      </c>
    </row>
    <row r="717" spans="1:6">
      <c r="A717">
        <v>706</v>
      </c>
      <c r="B717" t="s">
        <v>804</v>
      </c>
      <c r="C717">
        <v>1</v>
      </c>
      <c r="D717" s="1">
        <v>45799</v>
      </c>
      <c r="E717">
        <v>28.95</v>
      </c>
      <c r="F717">
        <v>0</v>
      </c>
    </row>
    <row r="718" spans="1:6">
      <c r="A718">
        <v>707</v>
      </c>
      <c r="B718" t="s">
        <v>886</v>
      </c>
      <c r="C718">
        <v>1</v>
      </c>
      <c r="D718" s="1">
        <v>45799</v>
      </c>
      <c r="E718">
        <v>35.75</v>
      </c>
      <c r="F718">
        <v>0</v>
      </c>
    </row>
    <row r="719" spans="1:6">
      <c r="A719">
        <v>708</v>
      </c>
      <c r="B719" t="s">
        <v>803</v>
      </c>
      <c r="C719">
        <v>1</v>
      </c>
      <c r="D719" s="1">
        <v>45799</v>
      </c>
      <c r="E719">
        <v>53.95</v>
      </c>
      <c r="F719">
        <v>0</v>
      </c>
    </row>
    <row r="720" spans="1:6">
      <c r="A720">
        <v>709</v>
      </c>
      <c r="B720" t="s">
        <v>882</v>
      </c>
      <c r="C720">
        <v>1</v>
      </c>
      <c r="D720" s="1">
        <v>45800</v>
      </c>
      <c r="E720">
        <v>58.92</v>
      </c>
      <c r="F720">
        <v>0</v>
      </c>
    </row>
    <row r="721" spans="1:6">
      <c r="A721">
        <v>710</v>
      </c>
      <c r="B721" t="s">
        <v>800</v>
      </c>
      <c r="C721">
        <v>1</v>
      </c>
      <c r="D721" s="1">
        <v>45800</v>
      </c>
      <c r="E721">
        <v>24.1</v>
      </c>
      <c r="F721">
        <v>0</v>
      </c>
    </row>
    <row r="722" spans="1:6">
      <c r="A722">
        <v>711</v>
      </c>
      <c r="B722" t="s">
        <v>468</v>
      </c>
      <c r="C722">
        <v>1</v>
      </c>
      <c r="D722" s="1">
        <v>45800</v>
      </c>
      <c r="E722">
        <v>7.95</v>
      </c>
      <c r="F722">
        <v>0</v>
      </c>
    </row>
    <row r="723" spans="1:6">
      <c r="A723">
        <v>712</v>
      </c>
      <c r="B723" t="s">
        <v>803</v>
      </c>
      <c r="C723">
        <v>1</v>
      </c>
      <c r="D723" s="1">
        <v>45803</v>
      </c>
      <c r="E723">
        <v>53.95</v>
      </c>
      <c r="F723">
        <v>0</v>
      </c>
    </row>
    <row r="724" spans="1:6">
      <c r="A724">
        <v>713</v>
      </c>
      <c r="B724" t="s">
        <v>800</v>
      </c>
      <c r="C724">
        <v>2</v>
      </c>
      <c r="D724" s="1">
        <v>45805</v>
      </c>
      <c r="E724">
        <v>24.1</v>
      </c>
      <c r="F724">
        <v>0</v>
      </c>
    </row>
    <row r="725" spans="1:6">
      <c r="A725">
        <v>714</v>
      </c>
      <c r="B725" t="s">
        <v>886</v>
      </c>
      <c r="C725">
        <v>2</v>
      </c>
      <c r="D725" s="1">
        <v>45805</v>
      </c>
      <c r="E725">
        <v>35.75</v>
      </c>
      <c r="F725">
        <v>0</v>
      </c>
    </row>
    <row r="726" spans="1:6">
      <c r="A726">
        <v>715</v>
      </c>
      <c r="B726" t="s">
        <v>886</v>
      </c>
      <c r="C726">
        <v>6</v>
      </c>
      <c r="D726" s="1">
        <v>45805</v>
      </c>
      <c r="E726">
        <v>35.75</v>
      </c>
      <c r="F726">
        <v>0</v>
      </c>
    </row>
    <row r="727" spans="1:6">
      <c r="A727">
        <v>716</v>
      </c>
      <c r="B727" t="s">
        <v>468</v>
      </c>
      <c r="C727">
        <v>1</v>
      </c>
      <c r="D727" s="1">
        <v>45806</v>
      </c>
      <c r="E727">
        <v>7.95</v>
      </c>
      <c r="F727">
        <v>0</v>
      </c>
    </row>
    <row r="728" spans="1:6">
      <c r="A728">
        <v>717</v>
      </c>
      <c r="B728" t="s">
        <v>804</v>
      </c>
      <c r="C728">
        <v>1</v>
      </c>
      <c r="D728" s="1">
        <v>45806</v>
      </c>
      <c r="E728">
        <v>28.95</v>
      </c>
      <c r="F728">
        <v>0</v>
      </c>
    </row>
    <row r="729" spans="1:6">
      <c r="A729">
        <v>718</v>
      </c>
      <c r="B729" t="s">
        <v>800</v>
      </c>
      <c r="C729">
        <v>1</v>
      </c>
      <c r="D729" s="1">
        <v>45806</v>
      </c>
      <c r="E729">
        <v>24.1</v>
      </c>
      <c r="F729">
        <v>0</v>
      </c>
    </row>
    <row r="730" spans="1:6">
      <c r="A730">
        <v>719</v>
      </c>
      <c r="B730" t="s">
        <v>800</v>
      </c>
      <c r="C730">
        <v>1</v>
      </c>
      <c r="D730" s="1">
        <v>45810</v>
      </c>
      <c r="E730">
        <v>24.1</v>
      </c>
      <c r="F730">
        <v>0</v>
      </c>
    </row>
    <row r="731" spans="1:6">
      <c r="A731">
        <v>720</v>
      </c>
      <c r="B731" t="s">
        <v>804</v>
      </c>
      <c r="C731">
        <v>1</v>
      </c>
      <c r="D731" s="1">
        <v>45810</v>
      </c>
      <c r="E731">
        <v>28.95</v>
      </c>
      <c r="F731">
        <v>0</v>
      </c>
    </row>
    <row r="732" spans="1:6">
      <c r="A732">
        <v>721</v>
      </c>
      <c r="B732" t="s">
        <v>471</v>
      </c>
      <c r="C732">
        <v>1</v>
      </c>
      <c r="D732" s="1">
        <v>45811</v>
      </c>
      <c r="E732">
        <v>316.44</v>
      </c>
      <c r="F732">
        <v>0</v>
      </c>
    </row>
    <row r="733" spans="1:6">
      <c r="A733">
        <v>722</v>
      </c>
      <c r="B733" t="s">
        <v>800</v>
      </c>
      <c r="C733">
        <v>1</v>
      </c>
      <c r="D733" s="1">
        <v>45811</v>
      </c>
      <c r="E733">
        <v>24.1</v>
      </c>
      <c r="F733">
        <v>0</v>
      </c>
    </row>
    <row r="734" spans="1:6">
      <c r="A734">
        <v>723</v>
      </c>
      <c r="B734" t="s">
        <v>804</v>
      </c>
      <c r="C734">
        <v>1</v>
      </c>
      <c r="D734" s="1">
        <v>45811</v>
      </c>
      <c r="E734">
        <v>28.95</v>
      </c>
      <c r="F734">
        <v>0</v>
      </c>
    </row>
    <row r="735" spans="1:6">
      <c r="A735">
        <v>864</v>
      </c>
      <c r="B735" t="s">
        <v>424</v>
      </c>
      <c r="C735">
        <v>1</v>
      </c>
      <c r="D735" s="1">
        <v>45812</v>
      </c>
      <c r="E735">
        <v>560.78</v>
      </c>
      <c r="F735">
        <v>0</v>
      </c>
    </row>
    <row r="736" spans="1:6">
      <c r="A736">
        <v>724</v>
      </c>
      <c r="B736" t="s">
        <v>800</v>
      </c>
      <c r="C736">
        <v>2</v>
      </c>
      <c r="D736" s="1">
        <v>45814</v>
      </c>
      <c r="E736">
        <v>24.1</v>
      </c>
      <c r="F736">
        <v>0</v>
      </c>
    </row>
    <row r="737" spans="1:6">
      <c r="A737">
        <v>725</v>
      </c>
      <c r="B737" t="s">
        <v>886</v>
      </c>
      <c r="C737">
        <v>1</v>
      </c>
      <c r="D737" s="1">
        <v>45814</v>
      </c>
      <c r="E737">
        <v>35.75</v>
      </c>
      <c r="F737">
        <v>0</v>
      </c>
    </row>
    <row r="738" spans="1:6">
      <c r="A738">
        <v>726</v>
      </c>
      <c r="B738" t="s">
        <v>468</v>
      </c>
      <c r="C738">
        <v>1</v>
      </c>
      <c r="D738" s="1">
        <v>45817</v>
      </c>
      <c r="E738">
        <v>7.95</v>
      </c>
      <c r="F738">
        <v>0</v>
      </c>
    </row>
    <row r="739" spans="1:6">
      <c r="A739">
        <v>727</v>
      </c>
      <c r="B739" t="s">
        <v>800</v>
      </c>
      <c r="C739">
        <v>1</v>
      </c>
      <c r="D739" s="1">
        <v>45817</v>
      </c>
      <c r="E739">
        <v>24.1</v>
      </c>
      <c r="F739">
        <v>0</v>
      </c>
    </row>
    <row r="740" spans="1:6">
      <c r="A740">
        <v>728</v>
      </c>
      <c r="B740" t="s">
        <v>803</v>
      </c>
      <c r="C740">
        <v>4</v>
      </c>
      <c r="D740" s="1">
        <v>45818</v>
      </c>
      <c r="E740">
        <v>53.95</v>
      </c>
      <c r="F740">
        <v>0</v>
      </c>
    </row>
    <row r="741" spans="1:6">
      <c r="A741">
        <v>729</v>
      </c>
      <c r="B741" t="s">
        <v>823</v>
      </c>
      <c r="C741">
        <v>2</v>
      </c>
      <c r="D741" s="1">
        <v>45818</v>
      </c>
      <c r="E741">
        <v>27.1</v>
      </c>
      <c r="F741">
        <v>0</v>
      </c>
    </row>
    <row r="742" spans="1:6">
      <c r="A742">
        <v>730</v>
      </c>
      <c r="B742" t="s">
        <v>800</v>
      </c>
      <c r="C742">
        <v>1</v>
      </c>
      <c r="D742" s="1">
        <v>45819</v>
      </c>
      <c r="E742">
        <v>24.1</v>
      </c>
      <c r="F742">
        <v>0</v>
      </c>
    </row>
    <row r="743" spans="1:6">
      <c r="A743">
        <v>781</v>
      </c>
      <c r="B743" t="s">
        <v>461</v>
      </c>
      <c r="C743">
        <v>1</v>
      </c>
      <c r="D743" s="1">
        <v>45819</v>
      </c>
      <c r="E743">
        <v>74.06</v>
      </c>
      <c r="F743">
        <v>0</v>
      </c>
    </row>
    <row r="744" spans="1:6">
      <c r="A744">
        <v>731</v>
      </c>
      <c r="B744" t="s">
        <v>468</v>
      </c>
      <c r="C744">
        <v>21</v>
      </c>
      <c r="D744" s="1">
        <v>45820</v>
      </c>
      <c r="E744">
        <v>7.95</v>
      </c>
      <c r="F744">
        <v>0</v>
      </c>
    </row>
    <row r="745" spans="1:6">
      <c r="A745">
        <v>733</v>
      </c>
      <c r="B745" t="s">
        <v>803</v>
      </c>
      <c r="C745">
        <v>1</v>
      </c>
      <c r="D745" s="1">
        <v>45820</v>
      </c>
      <c r="E745">
        <v>53.95</v>
      </c>
      <c r="F745">
        <v>0</v>
      </c>
    </row>
    <row r="746" spans="1:6">
      <c r="A746">
        <v>732</v>
      </c>
      <c r="B746" t="s">
        <v>886</v>
      </c>
      <c r="C746">
        <v>1</v>
      </c>
      <c r="D746" s="1">
        <v>45821</v>
      </c>
      <c r="E746">
        <v>35.75</v>
      </c>
      <c r="F746">
        <v>0</v>
      </c>
    </row>
    <row r="747" spans="1:6">
      <c r="A747">
        <v>866</v>
      </c>
      <c r="B747" t="s">
        <v>424</v>
      </c>
      <c r="C747">
        <v>1</v>
      </c>
      <c r="D747" s="1">
        <v>45821</v>
      </c>
      <c r="E747">
        <v>560.78</v>
      </c>
      <c r="F747">
        <v>0</v>
      </c>
    </row>
    <row r="748" spans="1:6">
      <c r="A748">
        <v>734</v>
      </c>
      <c r="B748" t="s">
        <v>483</v>
      </c>
      <c r="C748">
        <v>1</v>
      </c>
      <c r="D748" s="1">
        <v>45824</v>
      </c>
      <c r="E748">
        <v>385</v>
      </c>
      <c r="F748">
        <v>0</v>
      </c>
    </row>
    <row r="749" spans="1:6">
      <c r="A749">
        <v>735</v>
      </c>
      <c r="B749" t="s">
        <v>803</v>
      </c>
      <c r="C749">
        <v>1</v>
      </c>
      <c r="D749" s="1">
        <v>45824</v>
      </c>
      <c r="E749">
        <v>53.95</v>
      </c>
      <c r="F749">
        <v>0</v>
      </c>
    </row>
    <row r="750" spans="1:6">
      <c r="A750">
        <v>736</v>
      </c>
      <c r="B750" t="s">
        <v>483</v>
      </c>
      <c r="C750">
        <v>1</v>
      </c>
      <c r="D750" s="1">
        <v>45825</v>
      </c>
      <c r="E750">
        <v>385</v>
      </c>
      <c r="F750">
        <v>0</v>
      </c>
    </row>
    <row r="751" spans="1:6">
      <c r="A751">
        <v>737</v>
      </c>
      <c r="B751" t="s">
        <v>804</v>
      </c>
      <c r="C751">
        <v>16</v>
      </c>
      <c r="D751" s="1">
        <v>45825</v>
      </c>
      <c r="E751">
        <v>28.95</v>
      </c>
      <c r="F751">
        <v>0</v>
      </c>
    </row>
    <row r="752" spans="1:6">
      <c r="A752">
        <v>738</v>
      </c>
      <c r="B752" t="s">
        <v>469</v>
      </c>
      <c r="C752">
        <v>4</v>
      </c>
      <c r="D752" s="1">
        <v>45826</v>
      </c>
      <c r="E752">
        <v>7.95</v>
      </c>
      <c r="F752">
        <v>0</v>
      </c>
    </row>
    <row r="753" spans="1:6">
      <c r="A753">
        <v>739</v>
      </c>
      <c r="B753" t="s">
        <v>468</v>
      </c>
      <c r="C753">
        <v>5</v>
      </c>
      <c r="D753" s="1">
        <v>45826</v>
      </c>
      <c r="E753">
        <v>7.95</v>
      </c>
      <c r="F753">
        <v>0</v>
      </c>
    </row>
    <row r="754" spans="1:6">
      <c r="A754">
        <v>740</v>
      </c>
      <c r="B754" t="s">
        <v>477</v>
      </c>
      <c r="C754">
        <v>3</v>
      </c>
      <c r="D754" s="1">
        <v>45826</v>
      </c>
      <c r="E754">
        <v>3.38</v>
      </c>
      <c r="F754">
        <v>0</v>
      </c>
    </row>
    <row r="755" spans="1:6">
      <c r="A755">
        <v>741</v>
      </c>
      <c r="B755" t="s">
        <v>834</v>
      </c>
      <c r="C755">
        <v>1</v>
      </c>
      <c r="D755" s="1">
        <v>45826</v>
      </c>
      <c r="E755">
        <v>144</v>
      </c>
      <c r="F755">
        <v>0</v>
      </c>
    </row>
    <row r="756" spans="1:6">
      <c r="A756">
        <v>742</v>
      </c>
      <c r="B756" t="s">
        <v>968</v>
      </c>
      <c r="C756">
        <v>1</v>
      </c>
      <c r="D756" s="1">
        <v>45826</v>
      </c>
      <c r="E756">
        <v>4.79</v>
      </c>
      <c r="F756">
        <v>0</v>
      </c>
    </row>
    <row r="757" spans="1:6">
      <c r="A757">
        <v>743</v>
      </c>
      <c r="B757" t="s">
        <v>455</v>
      </c>
      <c r="C757">
        <v>2</v>
      </c>
      <c r="D757" s="1">
        <v>45826</v>
      </c>
      <c r="E757">
        <v>80</v>
      </c>
      <c r="F757">
        <v>0</v>
      </c>
    </row>
    <row r="758" spans="1:6">
      <c r="A758">
        <v>744</v>
      </c>
      <c r="B758" t="s">
        <v>803</v>
      </c>
      <c r="C758">
        <v>6</v>
      </c>
      <c r="D758" s="1">
        <v>45828</v>
      </c>
      <c r="E758">
        <v>53.95</v>
      </c>
      <c r="F758">
        <v>0</v>
      </c>
    </row>
    <row r="759" spans="1:6">
      <c r="A759">
        <v>753</v>
      </c>
      <c r="B759" t="s">
        <v>471</v>
      </c>
      <c r="C759">
        <v>1</v>
      </c>
      <c r="D759" s="1">
        <v>45828</v>
      </c>
      <c r="E759">
        <v>316.44</v>
      </c>
      <c r="F759">
        <v>0</v>
      </c>
    </row>
    <row r="760" spans="1:6">
      <c r="A760">
        <v>745</v>
      </c>
      <c r="B760" t="s">
        <v>886</v>
      </c>
      <c r="C760">
        <v>1</v>
      </c>
      <c r="D760" s="1">
        <v>45831</v>
      </c>
      <c r="E760">
        <v>35.75</v>
      </c>
      <c r="F760">
        <v>0</v>
      </c>
    </row>
    <row r="761" spans="1:6">
      <c r="A761">
        <v>746</v>
      </c>
      <c r="B761" t="s">
        <v>800</v>
      </c>
      <c r="C761">
        <v>1</v>
      </c>
      <c r="D761" s="1">
        <v>45831</v>
      </c>
      <c r="E761">
        <v>24.1</v>
      </c>
      <c r="F761">
        <v>0</v>
      </c>
    </row>
    <row r="762" spans="1:6">
      <c r="A762">
        <v>747</v>
      </c>
      <c r="B762" t="s">
        <v>468</v>
      </c>
      <c r="C762">
        <v>1</v>
      </c>
      <c r="D762" s="1">
        <v>45831</v>
      </c>
      <c r="E762">
        <v>7.95</v>
      </c>
      <c r="F762">
        <v>0</v>
      </c>
    </row>
    <row r="763" spans="1:6">
      <c r="A763">
        <v>873</v>
      </c>
      <c r="B763" t="s">
        <v>795</v>
      </c>
      <c r="C763">
        <v>1</v>
      </c>
      <c r="D763" s="1">
        <v>45832</v>
      </c>
      <c r="E763">
        <v>776.9</v>
      </c>
      <c r="F763">
        <v>0</v>
      </c>
    </row>
    <row r="764" spans="1:6">
      <c r="A764">
        <v>748</v>
      </c>
      <c r="B764" t="s">
        <v>820</v>
      </c>
      <c r="C764">
        <v>1</v>
      </c>
      <c r="D764" s="1">
        <v>45833</v>
      </c>
      <c r="E764">
        <v>73.5</v>
      </c>
      <c r="F764">
        <v>0</v>
      </c>
    </row>
    <row r="765" spans="1:6">
      <c r="A765">
        <v>749</v>
      </c>
      <c r="B765" t="s">
        <v>800</v>
      </c>
      <c r="C765">
        <v>1</v>
      </c>
      <c r="D765" s="1">
        <v>45833</v>
      </c>
      <c r="E765">
        <v>24.1</v>
      </c>
      <c r="F765">
        <v>0</v>
      </c>
    </row>
    <row r="766" spans="1:6">
      <c r="A766">
        <v>750</v>
      </c>
      <c r="B766" t="s">
        <v>886</v>
      </c>
      <c r="C766">
        <v>1</v>
      </c>
      <c r="D766" s="1">
        <v>45833</v>
      </c>
      <c r="E766">
        <v>35.75</v>
      </c>
      <c r="F766">
        <v>0</v>
      </c>
    </row>
    <row r="767" spans="1:6">
      <c r="A767">
        <v>751</v>
      </c>
      <c r="B767" t="s">
        <v>468</v>
      </c>
      <c r="C767">
        <v>1</v>
      </c>
      <c r="D767" s="1">
        <v>45834</v>
      </c>
      <c r="E767">
        <v>7.95</v>
      </c>
      <c r="F767">
        <v>0</v>
      </c>
    </row>
    <row r="768" spans="1:6">
      <c r="A768">
        <v>752</v>
      </c>
      <c r="B768" t="s">
        <v>455</v>
      </c>
      <c r="C768">
        <v>1</v>
      </c>
      <c r="D768" s="1">
        <v>45834</v>
      </c>
      <c r="E768">
        <v>80</v>
      </c>
      <c r="F768">
        <v>0</v>
      </c>
    </row>
    <row r="769" spans="1:6">
      <c r="A769">
        <v>754</v>
      </c>
      <c r="B769" t="s">
        <v>800</v>
      </c>
      <c r="C769">
        <v>2</v>
      </c>
      <c r="D769" s="1">
        <v>45834</v>
      </c>
      <c r="E769">
        <v>24.1</v>
      </c>
      <c r="F769">
        <v>0</v>
      </c>
    </row>
    <row r="770" spans="1:6">
      <c r="A770">
        <v>755</v>
      </c>
      <c r="B770" t="s">
        <v>886</v>
      </c>
      <c r="C770">
        <v>2</v>
      </c>
      <c r="D770" s="1">
        <v>45834</v>
      </c>
      <c r="E770">
        <v>35.75</v>
      </c>
      <c r="F770">
        <v>0</v>
      </c>
    </row>
    <row r="771" spans="1:6">
      <c r="A771">
        <v>756</v>
      </c>
      <c r="B771" t="s">
        <v>838</v>
      </c>
      <c r="C771">
        <v>2</v>
      </c>
      <c r="D771" s="1">
        <v>45835</v>
      </c>
      <c r="E771">
        <v>391</v>
      </c>
      <c r="F771">
        <v>0</v>
      </c>
    </row>
    <row r="772" spans="1:6">
      <c r="A772">
        <v>757</v>
      </c>
      <c r="B772" t="s">
        <v>468</v>
      </c>
      <c r="C772">
        <v>1</v>
      </c>
      <c r="D772" s="1">
        <v>45838</v>
      </c>
      <c r="E772">
        <v>7.95</v>
      </c>
      <c r="F772">
        <v>0</v>
      </c>
    </row>
    <row r="773" spans="1:6">
      <c r="A773">
        <v>758</v>
      </c>
      <c r="B773" t="s">
        <v>424</v>
      </c>
      <c r="C773">
        <v>1</v>
      </c>
      <c r="D773" s="1">
        <v>45840</v>
      </c>
      <c r="E773">
        <v>560.78</v>
      </c>
      <c r="F773">
        <v>0</v>
      </c>
    </row>
    <row r="774" spans="1:6">
      <c r="A774">
        <v>759</v>
      </c>
      <c r="B774" t="s">
        <v>800</v>
      </c>
      <c r="C774">
        <v>7</v>
      </c>
      <c r="D774" s="1">
        <v>45840</v>
      </c>
      <c r="E774">
        <v>24.1</v>
      </c>
      <c r="F774">
        <v>0</v>
      </c>
    </row>
    <row r="775" spans="1:6">
      <c r="A775">
        <v>777</v>
      </c>
      <c r="B775" t="s">
        <v>471</v>
      </c>
      <c r="C775">
        <v>1</v>
      </c>
      <c r="D775" s="1">
        <v>45840</v>
      </c>
      <c r="E775">
        <v>316.44</v>
      </c>
      <c r="F775">
        <v>0</v>
      </c>
    </row>
    <row r="776" spans="1:6">
      <c r="A776">
        <v>760</v>
      </c>
      <c r="B776" t="s">
        <v>469</v>
      </c>
      <c r="C776">
        <v>1</v>
      </c>
      <c r="D776" s="1">
        <v>45841</v>
      </c>
      <c r="E776">
        <v>7.95</v>
      </c>
      <c r="F776">
        <v>0</v>
      </c>
    </row>
    <row r="777" spans="1:6">
      <c r="A777">
        <v>761</v>
      </c>
      <c r="B777" t="s">
        <v>886</v>
      </c>
      <c r="C777">
        <v>9</v>
      </c>
      <c r="D777" s="1">
        <v>45842</v>
      </c>
      <c r="E777">
        <v>35.75</v>
      </c>
      <c r="F777">
        <v>0</v>
      </c>
    </row>
    <row r="778" spans="1:6">
      <c r="A778">
        <v>762</v>
      </c>
      <c r="B778" t="s">
        <v>800</v>
      </c>
      <c r="C778">
        <v>1</v>
      </c>
      <c r="D778" s="1">
        <v>45842</v>
      </c>
      <c r="E778">
        <v>24.1</v>
      </c>
      <c r="F778">
        <v>0</v>
      </c>
    </row>
    <row r="779" spans="1:6">
      <c r="A779">
        <v>779</v>
      </c>
      <c r="B779" t="s">
        <v>882</v>
      </c>
      <c r="C779">
        <v>1</v>
      </c>
      <c r="D779" s="1">
        <v>45842</v>
      </c>
      <c r="E779">
        <v>58.92</v>
      </c>
      <c r="F779">
        <v>0</v>
      </c>
    </row>
    <row r="780" spans="1:6">
      <c r="A780">
        <v>763</v>
      </c>
      <c r="B780" t="s">
        <v>886</v>
      </c>
      <c r="C780">
        <v>1</v>
      </c>
      <c r="D780" s="1">
        <v>45845</v>
      </c>
      <c r="E780">
        <v>35.75</v>
      </c>
      <c r="F780">
        <v>0</v>
      </c>
    </row>
    <row r="781" spans="1:6">
      <c r="A781">
        <v>764</v>
      </c>
      <c r="B781" t="s">
        <v>800</v>
      </c>
      <c r="C781">
        <v>1</v>
      </c>
      <c r="D781" s="1">
        <v>45845</v>
      </c>
      <c r="E781">
        <v>24.1</v>
      </c>
      <c r="F781">
        <v>0</v>
      </c>
    </row>
    <row r="782" spans="1:6">
      <c r="A782">
        <v>765</v>
      </c>
      <c r="B782" t="s">
        <v>952</v>
      </c>
      <c r="C782">
        <v>1</v>
      </c>
      <c r="D782" s="1">
        <v>45845</v>
      </c>
      <c r="E782">
        <v>22.36</v>
      </c>
      <c r="F782">
        <v>0</v>
      </c>
    </row>
    <row r="783" spans="1:6">
      <c r="A783">
        <v>766</v>
      </c>
      <c r="B783" t="s">
        <v>800</v>
      </c>
      <c r="C783">
        <v>2</v>
      </c>
      <c r="D783" s="1">
        <v>45847</v>
      </c>
      <c r="E783">
        <v>24.1</v>
      </c>
      <c r="F783">
        <v>0</v>
      </c>
    </row>
    <row r="784" spans="1:6">
      <c r="A784">
        <v>767</v>
      </c>
      <c r="B784" t="s">
        <v>886</v>
      </c>
      <c r="C784">
        <v>1</v>
      </c>
      <c r="D784" s="1">
        <v>45848</v>
      </c>
      <c r="E784">
        <v>35.75</v>
      </c>
      <c r="F784">
        <v>0</v>
      </c>
    </row>
    <row r="785" spans="1:6">
      <c r="A785">
        <v>768</v>
      </c>
      <c r="B785" t="s">
        <v>477</v>
      </c>
      <c r="C785">
        <v>1</v>
      </c>
      <c r="D785" s="1">
        <v>45849</v>
      </c>
      <c r="E785">
        <v>3.38</v>
      </c>
      <c r="F785">
        <v>0</v>
      </c>
    </row>
    <row r="786" spans="1:6">
      <c r="A786">
        <v>769</v>
      </c>
      <c r="B786" t="s">
        <v>466</v>
      </c>
      <c r="C786">
        <v>1</v>
      </c>
      <c r="D786" s="1">
        <v>45852</v>
      </c>
      <c r="E786">
        <v>390</v>
      </c>
      <c r="F786">
        <v>0</v>
      </c>
    </row>
    <row r="787" spans="1:6">
      <c r="A787">
        <v>770</v>
      </c>
      <c r="B787" t="s">
        <v>469</v>
      </c>
      <c r="C787">
        <v>1</v>
      </c>
      <c r="D787" s="1">
        <v>45852</v>
      </c>
      <c r="E787">
        <v>7.95</v>
      </c>
      <c r="F787">
        <v>0</v>
      </c>
    </row>
    <row r="788" spans="1:6">
      <c r="A788">
        <v>771</v>
      </c>
      <c r="B788" t="s">
        <v>468</v>
      </c>
      <c r="C788">
        <v>2</v>
      </c>
      <c r="D788" s="1">
        <v>45852</v>
      </c>
      <c r="E788">
        <v>7.95</v>
      </c>
      <c r="F788">
        <v>0</v>
      </c>
    </row>
    <row r="789" spans="1:6">
      <c r="A789">
        <v>772</v>
      </c>
      <c r="B789" t="s">
        <v>800</v>
      </c>
      <c r="C789">
        <v>2</v>
      </c>
      <c r="D789" s="1">
        <v>45852</v>
      </c>
      <c r="E789">
        <v>24.1</v>
      </c>
      <c r="F789">
        <v>0</v>
      </c>
    </row>
    <row r="790" spans="1:6">
      <c r="A790">
        <v>778</v>
      </c>
      <c r="B790" t="s">
        <v>471</v>
      </c>
      <c r="C790">
        <v>1</v>
      </c>
      <c r="D790" s="1">
        <v>45852</v>
      </c>
      <c r="E790">
        <v>316.44</v>
      </c>
      <c r="F790">
        <v>0</v>
      </c>
    </row>
    <row r="791" spans="1:6">
      <c r="A791">
        <v>773</v>
      </c>
      <c r="B791" t="s">
        <v>838</v>
      </c>
      <c r="C791">
        <v>2</v>
      </c>
      <c r="D791" s="1">
        <v>45855</v>
      </c>
      <c r="E791">
        <v>391</v>
      </c>
      <c r="F791">
        <v>0</v>
      </c>
    </row>
    <row r="792" spans="1:6">
      <c r="A792">
        <v>833</v>
      </c>
      <c r="B792" t="s">
        <v>327</v>
      </c>
      <c r="C792">
        <v>1</v>
      </c>
      <c r="D792" s="1">
        <v>45857</v>
      </c>
      <c r="E792">
        <v>547.4</v>
      </c>
      <c r="F792">
        <v>0</v>
      </c>
    </row>
    <row r="793" spans="1:6">
      <c r="A793">
        <v>834</v>
      </c>
      <c r="B793" t="s">
        <v>327</v>
      </c>
      <c r="C793">
        <v>1</v>
      </c>
      <c r="D793" s="1">
        <v>45857</v>
      </c>
      <c r="E793">
        <v>547.4</v>
      </c>
      <c r="F793">
        <v>0</v>
      </c>
    </row>
    <row r="794" spans="1:6">
      <c r="A794">
        <v>785</v>
      </c>
      <c r="B794" t="s">
        <v>896</v>
      </c>
      <c r="C794">
        <v>1</v>
      </c>
      <c r="D794" s="1">
        <v>45859</v>
      </c>
      <c r="E794">
        <v>211.18</v>
      </c>
      <c r="F794">
        <v>0</v>
      </c>
    </row>
    <row r="795" spans="1:6">
      <c r="A795">
        <v>774</v>
      </c>
      <c r="B795" t="s">
        <v>468</v>
      </c>
      <c r="C795">
        <v>2</v>
      </c>
      <c r="D795" s="1">
        <v>45860</v>
      </c>
      <c r="E795">
        <v>7.95</v>
      </c>
      <c r="F795">
        <v>0</v>
      </c>
    </row>
    <row r="796" spans="1:6">
      <c r="A796">
        <v>775</v>
      </c>
      <c r="B796" t="s">
        <v>886</v>
      </c>
      <c r="C796">
        <v>1</v>
      </c>
      <c r="D796" s="1">
        <v>45860</v>
      </c>
      <c r="E796">
        <v>35.75</v>
      </c>
      <c r="F796">
        <v>0</v>
      </c>
    </row>
    <row r="797" spans="1:6">
      <c r="A797">
        <v>776</v>
      </c>
      <c r="B797" t="s">
        <v>886</v>
      </c>
      <c r="C797">
        <v>3</v>
      </c>
      <c r="D797" s="1">
        <v>45860</v>
      </c>
      <c r="E797">
        <v>35.75</v>
      </c>
      <c r="F797">
        <v>0</v>
      </c>
    </row>
    <row r="798" spans="1:6">
      <c r="A798">
        <v>782</v>
      </c>
      <c r="B798" t="s">
        <v>952</v>
      </c>
      <c r="C798">
        <v>4</v>
      </c>
      <c r="D798" s="1">
        <v>45860</v>
      </c>
      <c r="E798">
        <v>22.36</v>
      </c>
      <c r="F798">
        <v>0</v>
      </c>
    </row>
    <row r="799" spans="1:6">
      <c r="A799">
        <v>783</v>
      </c>
      <c r="B799" t="s">
        <v>799</v>
      </c>
      <c r="C799">
        <v>1</v>
      </c>
      <c r="D799" s="1">
        <v>45860</v>
      </c>
      <c r="E799">
        <v>67.25</v>
      </c>
      <c r="F799">
        <v>0</v>
      </c>
    </row>
    <row r="800" spans="1:6">
      <c r="A800">
        <v>784</v>
      </c>
      <c r="B800" t="s">
        <v>838</v>
      </c>
      <c r="C800">
        <v>1</v>
      </c>
      <c r="D800" s="1">
        <v>45860</v>
      </c>
      <c r="E800">
        <v>391</v>
      </c>
      <c r="F800">
        <v>0</v>
      </c>
    </row>
    <row r="801" spans="1:6">
      <c r="A801">
        <v>786</v>
      </c>
      <c r="B801" t="s">
        <v>803</v>
      </c>
      <c r="C801">
        <v>1</v>
      </c>
      <c r="D801" s="1">
        <v>45860</v>
      </c>
      <c r="E801">
        <v>53.95</v>
      </c>
      <c r="F801">
        <v>0</v>
      </c>
    </row>
    <row r="802" spans="1:6">
      <c r="A802">
        <v>787</v>
      </c>
      <c r="B802" t="s">
        <v>803</v>
      </c>
      <c r="C802">
        <v>11</v>
      </c>
      <c r="D802" s="1">
        <v>45860</v>
      </c>
      <c r="E802">
        <v>53.95</v>
      </c>
      <c r="F802">
        <v>0</v>
      </c>
    </row>
    <row r="803" spans="1:6">
      <c r="A803">
        <v>788</v>
      </c>
      <c r="B803" t="s">
        <v>800</v>
      </c>
      <c r="C803">
        <v>2</v>
      </c>
      <c r="D803" s="1">
        <v>45860</v>
      </c>
      <c r="E803">
        <v>24.1</v>
      </c>
      <c r="F803">
        <v>0</v>
      </c>
    </row>
    <row r="804" spans="1:6">
      <c r="A804">
        <v>789</v>
      </c>
      <c r="B804" t="s">
        <v>886</v>
      </c>
      <c r="C804">
        <v>2</v>
      </c>
      <c r="D804" s="1">
        <v>45860</v>
      </c>
      <c r="E804">
        <v>35.75</v>
      </c>
      <c r="F804">
        <v>0</v>
      </c>
    </row>
    <row r="805" spans="1:6">
      <c r="A805">
        <v>790</v>
      </c>
      <c r="B805" t="s">
        <v>327</v>
      </c>
      <c r="C805">
        <v>1</v>
      </c>
      <c r="D805" s="1">
        <v>45861</v>
      </c>
      <c r="E805">
        <v>547.4</v>
      </c>
      <c r="F805">
        <v>0</v>
      </c>
    </row>
    <row r="806" spans="1:6">
      <c r="A806">
        <v>791</v>
      </c>
      <c r="B806" t="s">
        <v>803</v>
      </c>
      <c r="C806">
        <v>2</v>
      </c>
      <c r="D806" s="1">
        <v>45862</v>
      </c>
      <c r="E806">
        <v>53.95</v>
      </c>
      <c r="F806">
        <v>0</v>
      </c>
    </row>
    <row r="807" spans="1:6">
      <c r="A807">
        <v>792</v>
      </c>
      <c r="B807" t="s">
        <v>455</v>
      </c>
      <c r="C807">
        <v>1</v>
      </c>
      <c r="D807" s="1">
        <v>45862</v>
      </c>
      <c r="E807">
        <v>80</v>
      </c>
      <c r="F807">
        <v>0</v>
      </c>
    </row>
    <row r="808" spans="1:6">
      <c r="A808">
        <v>794</v>
      </c>
      <c r="B808" t="s">
        <v>471</v>
      </c>
      <c r="C808">
        <v>1</v>
      </c>
      <c r="D808" s="1">
        <v>45863</v>
      </c>
      <c r="E808">
        <v>316.44</v>
      </c>
      <c r="F808">
        <v>0</v>
      </c>
    </row>
    <row r="809" spans="1:6">
      <c r="A809">
        <v>795</v>
      </c>
      <c r="B809" t="s">
        <v>886</v>
      </c>
      <c r="C809">
        <v>1</v>
      </c>
      <c r="D809" s="1">
        <v>45863</v>
      </c>
      <c r="E809">
        <v>35.75</v>
      </c>
      <c r="F809">
        <v>0</v>
      </c>
    </row>
    <row r="810" spans="1:6">
      <c r="A810">
        <v>796</v>
      </c>
      <c r="B810" t="s">
        <v>468</v>
      </c>
      <c r="C810">
        <v>1</v>
      </c>
      <c r="D810" s="1">
        <v>45866</v>
      </c>
      <c r="E810">
        <v>7.95</v>
      </c>
      <c r="F810">
        <v>0</v>
      </c>
    </row>
    <row r="811" spans="1:6">
      <c r="A811">
        <v>797</v>
      </c>
      <c r="B811" t="s">
        <v>803</v>
      </c>
      <c r="C811">
        <v>2</v>
      </c>
      <c r="D811" s="1">
        <v>45874</v>
      </c>
      <c r="E811">
        <v>53.95</v>
      </c>
      <c r="F811">
        <v>0</v>
      </c>
    </row>
    <row r="812" spans="1:6">
      <c r="A812">
        <v>798</v>
      </c>
      <c r="B812" t="s">
        <v>800</v>
      </c>
      <c r="C812">
        <v>1</v>
      </c>
      <c r="D812" s="1">
        <v>45874</v>
      </c>
      <c r="E812">
        <v>24.1</v>
      </c>
      <c r="F812">
        <v>0</v>
      </c>
    </row>
    <row r="813" spans="1:6">
      <c r="A813">
        <v>867</v>
      </c>
      <c r="B813" t="s">
        <v>424</v>
      </c>
      <c r="C813">
        <v>1</v>
      </c>
      <c r="D813" s="1">
        <v>45874</v>
      </c>
      <c r="E813">
        <v>560.78</v>
      </c>
      <c r="F813">
        <v>0</v>
      </c>
    </row>
    <row r="814" spans="1:6">
      <c r="A814">
        <v>799</v>
      </c>
      <c r="B814" t="s">
        <v>469</v>
      </c>
      <c r="C814">
        <v>3</v>
      </c>
      <c r="D814" s="1">
        <v>45875</v>
      </c>
      <c r="E814">
        <v>7.95</v>
      </c>
      <c r="F814">
        <v>0</v>
      </c>
    </row>
    <row r="815" spans="1:6">
      <c r="A815">
        <v>800</v>
      </c>
      <c r="B815" t="s">
        <v>468</v>
      </c>
      <c r="C815">
        <v>1</v>
      </c>
      <c r="D815" s="1">
        <v>45875</v>
      </c>
      <c r="E815">
        <v>7.95</v>
      </c>
      <c r="F815">
        <v>0</v>
      </c>
    </row>
    <row r="816" spans="1:6">
      <c r="A816">
        <v>801</v>
      </c>
      <c r="B816" t="s">
        <v>803</v>
      </c>
      <c r="C816">
        <v>1</v>
      </c>
      <c r="D816" s="1">
        <v>45876</v>
      </c>
      <c r="E816">
        <v>53.95</v>
      </c>
      <c r="F816">
        <v>0</v>
      </c>
    </row>
    <row r="817" spans="1:6">
      <c r="A817">
        <v>802</v>
      </c>
      <c r="B817" t="s">
        <v>886</v>
      </c>
      <c r="C817">
        <v>1</v>
      </c>
      <c r="D817" s="1">
        <v>45876</v>
      </c>
      <c r="E817">
        <v>35.75</v>
      </c>
      <c r="F817">
        <v>0</v>
      </c>
    </row>
    <row r="818" spans="1:6">
      <c r="A818">
        <v>803</v>
      </c>
      <c r="B818" t="s">
        <v>800</v>
      </c>
      <c r="C818">
        <v>1</v>
      </c>
      <c r="D818" s="1">
        <v>45876</v>
      </c>
      <c r="E818">
        <v>24.1</v>
      </c>
      <c r="F818">
        <v>0</v>
      </c>
    </row>
    <row r="819" spans="1:6">
      <c r="A819">
        <v>804</v>
      </c>
      <c r="B819" t="s">
        <v>800</v>
      </c>
      <c r="C819">
        <v>1</v>
      </c>
      <c r="D819" s="1">
        <v>45877</v>
      </c>
      <c r="E819">
        <v>24.1</v>
      </c>
      <c r="F819">
        <v>0</v>
      </c>
    </row>
    <row r="820" spans="1:6">
      <c r="A820">
        <v>805</v>
      </c>
      <c r="B820" t="s">
        <v>800</v>
      </c>
      <c r="C820">
        <v>9</v>
      </c>
      <c r="D820" s="1">
        <v>45877</v>
      </c>
      <c r="E820">
        <v>24.1</v>
      </c>
      <c r="F820">
        <v>0</v>
      </c>
    </row>
    <row r="821" spans="1:6">
      <c r="A821">
        <v>806</v>
      </c>
      <c r="B821" t="s">
        <v>800</v>
      </c>
      <c r="C821">
        <v>3</v>
      </c>
      <c r="D821" s="1">
        <v>45877</v>
      </c>
      <c r="E821">
        <v>24.1</v>
      </c>
      <c r="F821">
        <v>0</v>
      </c>
    </row>
    <row r="822" spans="1:6">
      <c r="A822">
        <v>807</v>
      </c>
      <c r="B822" t="s">
        <v>471</v>
      </c>
      <c r="C822">
        <v>1</v>
      </c>
      <c r="D822" s="1">
        <v>45877</v>
      </c>
      <c r="E822">
        <v>316.44</v>
      </c>
      <c r="F822">
        <v>0</v>
      </c>
    </row>
    <row r="823" spans="1:6">
      <c r="A823">
        <v>808</v>
      </c>
      <c r="B823" t="s">
        <v>886</v>
      </c>
      <c r="C823">
        <v>1</v>
      </c>
      <c r="D823" s="1">
        <v>45877</v>
      </c>
      <c r="E823">
        <v>35.75</v>
      </c>
      <c r="F823">
        <v>0</v>
      </c>
    </row>
    <row r="824" spans="1:6">
      <c r="A824">
        <v>809</v>
      </c>
      <c r="B824" t="s">
        <v>803</v>
      </c>
      <c r="C824">
        <v>4</v>
      </c>
      <c r="D824" s="1">
        <v>45880</v>
      </c>
      <c r="E824">
        <v>53.95</v>
      </c>
      <c r="F824">
        <v>0</v>
      </c>
    </row>
    <row r="825" spans="1:6">
      <c r="A825">
        <v>810</v>
      </c>
      <c r="B825" t="s">
        <v>886</v>
      </c>
      <c r="C825">
        <v>2</v>
      </c>
      <c r="D825" s="1">
        <v>45882</v>
      </c>
      <c r="E825">
        <v>35.75</v>
      </c>
      <c r="F825">
        <v>0</v>
      </c>
    </row>
    <row r="826" spans="1:6">
      <c r="A826">
        <v>811</v>
      </c>
      <c r="B826" t="s">
        <v>800</v>
      </c>
      <c r="C826">
        <v>2</v>
      </c>
      <c r="D826" s="1">
        <v>45882</v>
      </c>
      <c r="E826">
        <v>24.1</v>
      </c>
      <c r="F826">
        <v>0</v>
      </c>
    </row>
    <row r="827" spans="1:6">
      <c r="A827">
        <v>812</v>
      </c>
      <c r="B827" t="s">
        <v>803</v>
      </c>
      <c r="C827">
        <v>5</v>
      </c>
      <c r="D827" s="1">
        <v>45882</v>
      </c>
      <c r="E827">
        <v>53.95</v>
      </c>
      <c r="F827">
        <v>0</v>
      </c>
    </row>
    <row r="828" spans="1:6">
      <c r="A828">
        <v>813</v>
      </c>
      <c r="B828" t="s">
        <v>471</v>
      </c>
      <c r="C828">
        <v>1</v>
      </c>
      <c r="D828" s="1">
        <v>45884</v>
      </c>
      <c r="E828">
        <v>316.44</v>
      </c>
      <c r="F828">
        <v>0</v>
      </c>
    </row>
    <row r="829" spans="1:6">
      <c r="A829">
        <v>814</v>
      </c>
      <c r="B829" t="s">
        <v>800</v>
      </c>
      <c r="C829">
        <v>2</v>
      </c>
      <c r="D829" s="1">
        <v>45884</v>
      </c>
      <c r="E829">
        <v>24.1</v>
      </c>
      <c r="F829">
        <v>0</v>
      </c>
    </row>
    <row r="830" spans="1:6">
      <c r="A830">
        <v>815</v>
      </c>
      <c r="B830" t="s">
        <v>886</v>
      </c>
      <c r="C830">
        <v>2</v>
      </c>
      <c r="D830" s="1">
        <v>45884</v>
      </c>
      <c r="E830">
        <v>35.75</v>
      </c>
      <c r="F830">
        <v>0</v>
      </c>
    </row>
    <row r="831" spans="1:6">
      <c r="A831">
        <v>816</v>
      </c>
      <c r="B831" t="s">
        <v>800</v>
      </c>
      <c r="C831">
        <v>1</v>
      </c>
      <c r="D831" s="1">
        <v>45887</v>
      </c>
      <c r="E831">
        <v>24.1</v>
      </c>
      <c r="F831">
        <v>0</v>
      </c>
    </row>
    <row r="832" spans="1:6">
      <c r="A832">
        <v>851</v>
      </c>
      <c r="B832" t="s">
        <v>791</v>
      </c>
      <c r="C832">
        <v>1</v>
      </c>
      <c r="D832" s="1">
        <v>45890</v>
      </c>
      <c r="E832">
        <v>413.32</v>
      </c>
      <c r="F832">
        <v>0</v>
      </c>
    </row>
    <row r="833" spans="1:6">
      <c r="A833">
        <v>852</v>
      </c>
      <c r="B833" t="s">
        <v>455</v>
      </c>
      <c r="C833">
        <v>1</v>
      </c>
      <c r="D833" s="1">
        <v>45890</v>
      </c>
      <c r="E833">
        <v>80</v>
      </c>
      <c r="F833">
        <v>0</v>
      </c>
    </row>
    <row r="834" spans="1:6">
      <c r="A834">
        <v>853</v>
      </c>
      <c r="B834" t="s">
        <v>53</v>
      </c>
      <c r="C834">
        <v>1</v>
      </c>
      <c r="D834" s="1">
        <v>45890</v>
      </c>
      <c r="E834">
        <v>24.75</v>
      </c>
      <c r="F834">
        <v>0</v>
      </c>
    </row>
    <row r="835" spans="1:6">
      <c r="A835">
        <v>817</v>
      </c>
      <c r="B835" t="s">
        <v>800</v>
      </c>
      <c r="C835">
        <v>5</v>
      </c>
      <c r="D835" s="1">
        <v>45891</v>
      </c>
      <c r="E835">
        <v>24.1</v>
      </c>
      <c r="F835">
        <v>0</v>
      </c>
    </row>
    <row r="836" spans="1:6">
      <c r="A836">
        <v>818</v>
      </c>
      <c r="B836" t="s">
        <v>886</v>
      </c>
      <c r="C836">
        <v>13</v>
      </c>
      <c r="D836" s="1">
        <v>45891</v>
      </c>
      <c r="E836">
        <v>35.75</v>
      </c>
      <c r="F836">
        <v>0</v>
      </c>
    </row>
    <row r="837" spans="1:6">
      <c r="A837">
        <v>819</v>
      </c>
      <c r="B837" t="s">
        <v>800</v>
      </c>
      <c r="C837">
        <v>1</v>
      </c>
      <c r="D837" s="1">
        <v>45894</v>
      </c>
      <c r="E837">
        <v>24.1</v>
      </c>
      <c r="F837">
        <v>0</v>
      </c>
    </row>
    <row r="838" spans="1:6">
      <c r="A838">
        <v>820</v>
      </c>
      <c r="B838" t="s">
        <v>471</v>
      </c>
      <c r="C838">
        <v>1</v>
      </c>
      <c r="D838" s="1">
        <v>45894</v>
      </c>
      <c r="E838">
        <v>316.44</v>
      </c>
      <c r="F838">
        <v>0</v>
      </c>
    </row>
    <row r="839" spans="1:6">
      <c r="A839">
        <v>821</v>
      </c>
      <c r="B839" t="s">
        <v>800</v>
      </c>
      <c r="C839">
        <v>1</v>
      </c>
      <c r="D839" s="1">
        <v>45894</v>
      </c>
      <c r="E839">
        <v>24.1</v>
      </c>
      <c r="F839">
        <v>0</v>
      </c>
    </row>
    <row r="840" spans="1:6">
      <c r="A840">
        <v>822</v>
      </c>
      <c r="B840" t="s">
        <v>821</v>
      </c>
      <c r="C840">
        <v>1</v>
      </c>
      <c r="D840" s="1">
        <v>45895</v>
      </c>
      <c r="E840">
        <v>119</v>
      </c>
      <c r="F840">
        <v>0</v>
      </c>
    </row>
    <row r="841" spans="1:6">
      <c r="A841">
        <v>823</v>
      </c>
      <c r="B841" t="s">
        <v>803</v>
      </c>
      <c r="C841">
        <v>3</v>
      </c>
      <c r="D841" s="1">
        <v>45895</v>
      </c>
      <c r="E841">
        <v>53.95</v>
      </c>
      <c r="F841">
        <v>0</v>
      </c>
    </row>
    <row r="842" spans="1:6">
      <c r="A842">
        <v>824</v>
      </c>
      <c r="B842" t="s">
        <v>968</v>
      </c>
      <c r="C842">
        <v>4</v>
      </c>
      <c r="D842" s="1">
        <v>45895</v>
      </c>
      <c r="E842">
        <v>4.79</v>
      </c>
      <c r="F842">
        <v>0</v>
      </c>
    </row>
    <row r="843" spans="1:6">
      <c r="A843">
        <v>825</v>
      </c>
      <c r="B843" t="s">
        <v>952</v>
      </c>
      <c r="C843">
        <v>2</v>
      </c>
      <c r="D843" s="1">
        <v>45895</v>
      </c>
      <c r="E843">
        <v>22.36</v>
      </c>
      <c r="F843">
        <v>0</v>
      </c>
    </row>
    <row r="844" spans="1:6">
      <c r="A844">
        <v>826</v>
      </c>
      <c r="B844" t="s">
        <v>886</v>
      </c>
      <c r="C844">
        <v>2</v>
      </c>
      <c r="D844" s="1">
        <v>45895</v>
      </c>
      <c r="E844">
        <v>35.75</v>
      </c>
      <c r="F844">
        <v>0</v>
      </c>
    </row>
    <row r="845" spans="1:6">
      <c r="A845">
        <v>827</v>
      </c>
      <c r="B845" t="s">
        <v>477</v>
      </c>
      <c r="C845">
        <v>5</v>
      </c>
      <c r="D845" s="1">
        <v>45895</v>
      </c>
      <c r="E845">
        <v>3.38</v>
      </c>
      <c r="F845">
        <v>0</v>
      </c>
    </row>
    <row r="846" spans="1:6">
      <c r="A846">
        <v>828</v>
      </c>
      <c r="B846" t="s">
        <v>468</v>
      </c>
      <c r="C846">
        <v>8</v>
      </c>
      <c r="D846" s="1">
        <v>45896</v>
      </c>
      <c r="E846">
        <v>7.95</v>
      </c>
      <c r="F846">
        <v>0</v>
      </c>
    </row>
    <row r="847" spans="1:6">
      <c r="A847">
        <v>829</v>
      </c>
      <c r="B847" t="s">
        <v>800</v>
      </c>
      <c r="C847">
        <v>2</v>
      </c>
      <c r="D847" s="1">
        <v>45896</v>
      </c>
      <c r="E847">
        <v>24.1</v>
      </c>
      <c r="F847">
        <v>0</v>
      </c>
    </row>
    <row r="848" spans="1:6">
      <c r="A848">
        <v>830</v>
      </c>
      <c r="B848" t="s">
        <v>886</v>
      </c>
      <c r="C848">
        <v>1</v>
      </c>
      <c r="D848" s="1">
        <v>45896</v>
      </c>
      <c r="E848">
        <v>35.75</v>
      </c>
      <c r="F848">
        <v>0</v>
      </c>
    </row>
    <row r="849" spans="1:6">
      <c r="A849">
        <v>849</v>
      </c>
      <c r="B849" t="s">
        <v>473</v>
      </c>
      <c r="C849">
        <v>1</v>
      </c>
      <c r="D849" s="1">
        <v>45901</v>
      </c>
      <c r="E849">
        <v>102.24</v>
      </c>
      <c r="F849">
        <v>0</v>
      </c>
    </row>
    <row r="850" spans="1:6">
      <c r="A850">
        <v>831</v>
      </c>
      <c r="B850" t="s">
        <v>803</v>
      </c>
      <c r="C850">
        <v>1</v>
      </c>
      <c r="D850" s="1">
        <v>45903</v>
      </c>
      <c r="E850">
        <v>53.95</v>
      </c>
      <c r="F850">
        <v>0</v>
      </c>
    </row>
    <row r="851" spans="1:6">
      <c r="A851">
        <v>832</v>
      </c>
      <c r="B851" t="s">
        <v>819</v>
      </c>
      <c r="C851">
        <v>1</v>
      </c>
      <c r="D851" s="1">
        <v>45903</v>
      </c>
      <c r="E851">
        <v>120</v>
      </c>
      <c r="F851">
        <v>0</v>
      </c>
    </row>
    <row r="852" spans="1:6">
      <c r="A852">
        <v>835</v>
      </c>
      <c r="B852" t="s">
        <v>471</v>
      </c>
      <c r="C852">
        <v>1</v>
      </c>
      <c r="D852" s="1">
        <v>45903</v>
      </c>
      <c r="E852">
        <v>316.44</v>
      </c>
      <c r="F852">
        <v>0</v>
      </c>
    </row>
    <row r="853" spans="1:6">
      <c r="A853">
        <v>836</v>
      </c>
      <c r="B853" t="s">
        <v>468</v>
      </c>
      <c r="C853">
        <v>3</v>
      </c>
      <c r="D853" s="1">
        <v>45903</v>
      </c>
      <c r="E853">
        <v>7.95</v>
      </c>
      <c r="F853">
        <v>0</v>
      </c>
    </row>
    <row r="854" spans="1:6">
      <c r="A854">
        <v>837</v>
      </c>
      <c r="B854" t="s">
        <v>800</v>
      </c>
      <c r="C854">
        <v>1</v>
      </c>
      <c r="D854" s="1">
        <v>45903</v>
      </c>
      <c r="E854">
        <v>24.1</v>
      </c>
      <c r="F854">
        <v>0</v>
      </c>
    </row>
    <row r="855" spans="1:6">
      <c r="A855">
        <v>838</v>
      </c>
      <c r="B855" t="s">
        <v>886</v>
      </c>
      <c r="C855">
        <v>2</v>
      </c>
      <c r="D855" s="1">
        <v>45903</v>
      </c>
      <c r="E855">
        <v>35.75</v>
      </c>
      <c r="F855">
        <v>0</v>
      </c>
    </row>
    <row r="856" spans="1:6">
      <c r="A856">
        <v>839</v>
      </c>
      <c r="B856" t="s">
        <v>820</v>
      </c>
      <c r="C856">
        <v>1</v>
      </c>
      <c r="D856" s="1">
        <v>45903</v>
      </c>
      <c r="E856">
        <v>73.5</v>
      </c>
      <c r="F856">
        <v>0</v>
      </c>
    </row>
    <row r="857" spans="1:6">
      <c r="A857">
        <v>855</v>
      </c>
      <c r="B857" t="s">
        <v>831</v>
      </c>
      <c r="C857">
        <v>1</v>
      </c>
      <c r="D857" s="1">
        <v>45905</v>
      </c>
      <c r="E857">
        <v>400</v>
      </c>
      <c r="F857">
        <v>0</v>
      </c>
    </row>
    <row r="858" spans="1:6">
      <c r="A858">
        <v>983</v>
      </c>
      <c r="B858" t="s">
        <v>840</v>
      </c>
      <c r="C858">
        <v>1</v>
      </c>
      <c r="D858" s="1">
        <v>45909</v>
      </c>
      <c r="E858">
        <v>27.2</v>
      </c>
      <c r="F858">
        <v>0</v>
      </c>
    </row>
    <row r="859" spans="1:6">
      <c r="A859">
        <v>856</v>
      </c>
      <c r="B859" t="s">
        <v>829</v>
      </c>
      <c r="C859">
        <v>1</v>
      </c>
      <c r="D859" s="1">
        <v>45910</v>
      </c>
      <c r="E859">
        <v>304.5</v>
      </c>
      <c r="F859">
        <v>0</v>
      </c>
    </row>
    <row r="860" spans="1:6">
      <c r="A860">
        <v>868</v>
      </c>
      <c r="B860" t="s">
        <v>424</v>
      </c>
      <c r="C860">
        <v>1</v>
      </c>
      <c r="D860" s="1">
        <v>45910</v>
      </c>
      <c r="E860">
        <v>560.78</v>
      </c>
      <c r="F860">
        <v>0</v>
      </c>
    </row>
    <row r="861" spans="1:6">
      <c r="A861">
        <v>840</v>
      </c>
      <c r="B861" t="s">
        <v>886</v>
      </c>
      <c r="C861">
        <v>10</v>
      </c>
      <c r="D861" s="1">
        <v>45912</v>
      </c>
      <c r="E861">
        <v>35.75</v>
      </c>
      <c r="F861">
        <v>0</v>
      </c>
    </row>
    <row r="862" spans="1:6">
      <c r="A862">
        <v>841</v>
      </c>
      <c r="B862" t="s">
        <v>803</v>
      </c>
      <c r="C862">
        <v>1</v>
      </c>
      <c r="D862" s="1">
        <v>45912</v>
      </c>
      <c r="E862">
        <v>53.95</v>
      </c>
      <c r="F862">
        <v>0</v>
      </c>
    </row>
    <row r="863" spans="1:6">
      <c r="A863">
        <v>842</v>
      </c>
      <c r="B863" t="s">
        <v>803</v>
      </c>
      <c r="C863">
        <v>1</v>
      </c>
      <c r="D863" s="1">
        <v>45916</v>
      </c>
      <c r="E863">
        <v>53.95</v>
      </c>
      <c r="F863">
        <v>0</v>
      </c>
    </row>
    <row r="864" spans="1:6">
      <c r="A864">
        <v>843</v>
      </c>
      <c r="B864" t="s">
        <v>468</v>
      </c>
      <c r="C864">
        <v>1</v>
      </c>
      <c r="D864" s="1">
        <v>45917</v>
      </c>
      <c r="E864">
        <v>7.95</v>
      </c>
      <c r="F864">
        <v>0</v>
      </c>
    </row>
    <row r="865" spans="1:6">
      <c r="A865">
        <v>844</v>
      </c>
      <c r="B865" t="s">
        <v>468</v>
      </c>
      <c r="C865">
        <v>2</v>
      </c>
      <c r="D865" s="1">
        <v>45922</v>
      </c>
      <c r="E865">
        <v>7.95</v>
      </c>
      <c r="F865">
        <v>0</v>
      </c>
    </row>
    <row r="866" spans="1:6">
      <c r="A866">
        <v>845</v>
      </c>
      <c r="B866" t="s">
        <v>469</v>
      </c>
      <c r="C866">
        <v>3</v>
      </c>
      <c r="D866" s="1">
        <v>45924</v>
      </c>
      <c r="E866">
        <v>7.95</v>
      </c>
      <c r="F866">
        <v>0</v>
      </c>
    </row>
    <row r="867" spans="1:6">
      <c r="A867">
        <v>846</v>
      </c>
      <c r="B867" t="s">
        <v>968</v>
      </c>
      <c r="C867">
        <v>1</v>
      </c>
      <c r="D867" s="1">
        <v>45924</v>
      </c>
      <c r="E867">
        <v>4.79</v>
      </c>
      <c r="F867">
        <v>0</v>
      </c>
    </row>
    <row r="868" spans="1:6">
      <c r="A868">
        <v>847</v>
      </c>
      <c r="B868" t="s">
        <v>468</v>
      </c>
      <c r="C868">
        <v>7</v>
      </c>
      <c r="D868" s="1">
        <v>45924</v>
      </c>
      <c r="E868">
        <v>7.95</v>
      </c>
      <c r="F868">
        <v>0</v>
      </c>
    </row>
    <row r="869" spans="1:6">
      <c r="A869">
        <v>848</v>
      </c>
      <c r="B869" t="s">
        <v>477</v>
      </c>
      <c r="C869">
        <v>4</v>
      </c>
      <c r="D869" s="1">
        <v>45924</v>
      </c>
      <c r="E869">
        <v>3.38</v>
      </c>
      <c r="F869">
        <v>0</v>
      </c>
    </row>
    <row r="870" spans="1:6">
      <c r="A870">
        <v>857</v>
      </c>
      <c r="B870" t="s">
        <v>455</v>
      </c>
      <c r="C870">
        <v>1</v>
      </c>
      <c r="D870" s="1">
        <v>45926</v>
      </c>
      <c r="E870">
        <v>80</v>
      </c>
      <c r="F870">
        <v>0</v>
      </c>
    </row>
    <row r="871" spans="1:6">
      <c r="A871">
        <v>870</v>
      </c>
      <c r="B871" t="s">
        <v>455</v>
      </c>
      <c r="C871">
        <v>1</v>
      </c>
      <c r="D871" s="1">
        <v>45926</v>
      </c>
      <c r="E871">
        <v>80</v>
      </c>
      <c r="F871">
        <v>0</v>
      </c>
    </row>
    <row r="872" spans="1:6">
      <c r="A872">
        <v>858</v>
      </c>
      <c r="B872" t="s">
        <v>469</v>
      </c>
      <c r="C872">
        <v>2</v>
      </c>
      <c r="D872" s="1">
        <v>45929</v>
      </c>
      <c r="E872">
        <v>7.95</v>
      </c>
      <c r="F872">
        <v>0</v>
      </c>
    </row>
    <row r="873" spans="1:6">
      <c r="A873">
        <v>859</v>
      </c>
      <c r="B873" t="s">
        <v>968</v>
      </c>
      <c r="C873">
        <v>1</v>
      </c>
      <c r="D873" s="1">
        <v>45929</v>
      </c>
      <c r="E873">
        <v>4.79</v>
      </c>
      <c r="F873">
        <v>0</v>
      </c>
    </row>
    <row r="874" spans="1:6">
      <c r="A874">
        <v>860</v>
      </c>
      <c r="B874" t="s">
        <v>952</v>
      </c>
      <c r="C874">
        <v>1</v>
      </c>
      <c r="D874" s="1">
        <v>45929</v>
      </c>
      <c r="E874">
        <v>22.36</v>
      </c>
      <c r="F874">
        <v>0</v>
      </c>
    </row>
    <row r="875" spans="1:6">
      <c r="A875">
        <v>861</v>
      </c>
      <c r="B875" t="s">
        <v>886</v>
      </c>
      <c r="C875">
        <v>8</v>
      </c>
      <c r="D875" s="1">
        <v>45929</v>
      </c>
      <c r="E875">
        <v>35.75</v>
      </c>
      <c r="F875">
        <v>0</v>
      </c>
    </row>
    <row r="876" spans="1:6">
      <c r="A876">
        <v>862</v>
      </c>
      <c r="B876" t="s">
        <v>803</v>
      </c>
      <c r="C876">
        <v>1</v>
      </c>
      <c r="D876" s="1">
        <v>45930</v>
      </c>
      <c r="E876">
        <v>53.95</v>
      </c>
      <c r="F876">
        <v>0</v>
      </c>
    </row>
    <row r="877" spans="1:6">
      <c r="A877">
        <v>869</v>
      </c>
      <c r="B877" t="s">
        <v>468</v>
      </c>
      <c r="C877">
        <v>1</v>
      </c>
      <c r="D877" s="1">
        <v>45930</v>
      </c>
      <c r="E877">
        <v>7.95</v>
      </c>
      <c r="F877">
        <v>0</v>
      </c>
    </row>
    <row r="878" spans="1:6">
      <c r="A878">
        <v>874</v>
      </c>
      <c r="B878" t="s">
        <v>952</v>
      </c>
      <c r="C878">
        <v>1</v>
      </c>
      <c r="D878" s="1">
        <v>45932</v>
      </c>
      <c r="E878">
        <v>22.36</v>
      </c>
      <c r="F878">
        <v>0</v>
      </c>
    </row>
    <row r="879" spans="1:6">
      <c r="A879">
        <v>875</v>
      </c>
      <c r="B879" t="s">
        <v>886</v>
      </c>
      <c r="C879">
        <v>3</v>
      </c>
      <c r="D879" s="1">
        <v>45932</v>
      </c>
      <c r="E879">
        <v>35.75</v>
      </c>
      <c r="F879">
        <v>0</v>
      </c>
    </row>
    <row r="880" spans="1:6">
      <c r="A880">
        <v>876</v>
      </c>
      <c r="B880" t="s">
        <v>886</v>
      </c>
      <c r="C880">
        <v>1</v>
      </c>
      <c r="D880" s="1">
        <v>45933</v>
      </c>
      <c r="E880">
        <v>35.75</v>
      </c>
      <c r="F880">
        <v>0</v>
      </c>
    </row>
    <row r="881" spans="1:6">
      <c r="A881">
        <v>877</v>
      </c>
      <c r="B881" t="s">
        <v>800</v>
      </c>
      <c r="C881">
        <v>1</v>
      </c>
      <c r="D881" s="1">
        <v>45933</v>
      </c>
      <c r="E881">
        <v>24.1</v>
      </c>
      <c r="F881">
        <v>0</v>
      </c>
    </row>
    <row r="882" spans="1:6">
      <c r="A882">
        <v>878</v>
      </c>
      <c r="B882" t="s">
        <v>471</v>
      </c>
      <c r="C882">
        <v>1</v>
      </c>
      <c r="D882" s="1">
        <v>45933</v>
      </c>
      <c r="E882">
        <v>316.44</v>
      </c>
      <c r="F882">
        <v>0</v>
      </c>
    </row>
    <row r="883" spans="1:6">
      <c r="A883">
        <v>976</v>
      </c>
      <c r="B883" t="s">
        <v>882</v>
      </c>
      <c r="C883">
        <v>1</v>
      </c>
      <c r="D883" s="1">
        <v>45933</v>
      </c>
      <c r="E883">
        <v>58.92</v>
      </c>
      <c r="F883">
        <v>0</v>
      </c>
    </row>
    <row r="884" spans="1:6">
      <c r="A884">
        <v>879</v>
      </c>
      <c r="B884" t="s">
        <v>886</v>
      </c>
      <c r="C884">
        <v>1</v>
      </c>
      <c r="D884" s="1">
        <v>45936</v>
      </c>
      <c r="E884">
        <v>35.75</v>
      </c>
      <c r="F884">
        <v>0</v>
      </c>
    </row>
    <row r="885" spans="1:6">
      <c r="A885">
        <v>880</v>
      </c>
      <c r="B885" t="s">
        <v>800</v>
      </c>
      <c r="C885">
        <v>1</v>
      </c>
      <c r="D885" s="1">
        <v>45936</v>
      </c>
      <c r="E885">
        <v>24.1</v>
      </c>
      <c r="F885">
        <v>0</v>
      </c>
    </row>
    <row r="886" spans="1:6">
      <c r="A886">
        <v>940</v>
      </c>
      <c r="B886" t="s">
        <v>471</v>
      </c>
      <c r="C886">
        <v>1</v>
      </c>
      <c r="D886" s="1">
        <v>45936</v>
      </c>
      <c r="E886">
        <v>316.44</v>
      </c>
      <c r="F886">
        <v>0</v>
      </c>
    </row>
    <row r="887" spans="1:6">
      <c r="A887">
        <v>881</v>
      </c>
      <c r="B887" t="s">
        <v>800</v>
      </c>
      <c r="C887">
        <v>1</v>
      </c>
      <c r="D887" s="1">
        <v>45937</v>
      </c>
      <c r="E887">
        <v>24.1</v>
      </c>
      <c r="F887">
        <v>0</v>
      </c>
    </row>
    <row r="888" spans="1:6">
      <c r="A888">
        <v>882</v>
      </c>
      <c r="B888" t="s">
        <v>469</v>
      </c>
      <c r="C888">
        <v>1</v>
      </c>
      <c r="D888" s="1">
        <v>45937</v>
      </c>
      <c r="E888">
        <v>7.95</v>
      </c>
      <c r="F888">
        <v>0</v>
      </c>
    </row>
    <row r="889" spans="1:6">
      <c r="A889">
        <v>883</v>
      </c>
      <c r="B889" t="s">
        <v>468</v>
      </c>
      <c r="C889">
        <v>1</v>
      </c>
      <c r="D889" s="1">
        <v>45937</v>
      </c>
      <c r="E889">
        <v>7.95</v>
      </c>
      <c r="F889">
        <v>0</v>
      </c>
    </row>
    <row r="890" spans="1:6">
      <c r="A890">
        <v>884</v>
      </c>
      <c r="B890" t="s">
        <v>327</v>
      </c>
      <c r="C890">
        <v>2</v>
      </c>
      <c r="D890" s="1">
        <v>45937</v>
      </c>
      <c r="E890">
        <v>547.4</v>
      </c>
      <c r="F890">
        <v>0</v>
      </c>
    </row>
    <row r="891" spans="1:6">
      <c r="A891">
        <v>887</v>
      </c>
      <c r="B891" t="s">
        <v>800</v>
      </c>
      <c r="C891">
        <v>1</v>
      </c>
      <c r="D891" s="1">
        <v>45937</v>
      </c>
      <c r="E891">
        <v>24.1</v>
      </c>
      <c r="F891">
        <v>0</v>
      </c>
    </row>
    <row r="892" spans="1:6">
      <c r="A892">
        <v>888</v>
      </c>
      <c r="B892" t="s">
        <v>800</v>
      </c>
      <c r="C892">
        <v>1</v>
      </c>
      <c r="D892" s="1">
        <v>45938</v>
      </c>
      <c r="E892">
        <v>24.1</v>
      </c>
      <c r="F892">
        <v>0</v>
      </c>
    </row>
    <row r="893" spans="1:6">
      <c r="A893">
        <v>889</v>
      </c>
      <c r="B893" t="s">
        <v>803</v>
      </c>
      <c r="C893">
        <v>1</v>
      </c>
      <c r="D893" s="1">
        <v>45939</v>
      </c>
      <c r="E893">
        <v>53.95</v>
      </c>
      <c r="F893">
        <v>0</v>
      </c>
    </row>
    <row r="894" spans="1:6">
      <c r="A894">
        <v>944</v>
      </c>
      <c r="B894" t="s">
        <v>471</v>
      </c>
      <c r="C894">
        <v>1</v>
      </c>
      <c r="D894" s="1">
        <v>45939</v>
      </c>
      <c r="E894">
        <v>316.44</v>
      </c>
      <c r="F894">
        <v>0</v>
      </c>
    </row>
    <row r="895" spans="1:6">
      <c r="A895">
        <v>890</v>
      </c>
      <c r="B895" t="s">
        <v>466</v>
      </c>
      <c r="C895">
        <v>1</v>
      </c>
      <c r="D895" s="1">
        <v>45940</v>
      </c>
      <c r="E895">
        <v>390</v>
      </c>
      <c r="F895">
        <v>0</v>
      </c>
    </row>
    <row r="896" spans="1:6">
      <c r="A896">
        <v>945</v>
      </c>
      <c r="B896" t="s">
        <v>471</v>
      </c>
      <c r="C896">
        <v>1</v>
      </c>
      <c r="D896" s="1">
        <v>45943</v>
      </c>
      <c r="E896">
        <v>316.44</v>
      </c>
      <c r="F896">
        <v>0</v>
      </c>
    </row>
    <row r="897" spans="1:6">
      <c r="A897">
        <v>891</v>
      </c>
      <c r="B897" t="s">
        <v>803</v>
      </c>
      <c r="C897">
        <v>1</v>
      </c>
      <c r="D897" s="1">
        <v>45944</v>
      </c>
      <c r="E897">
        <v>53.95</v>
      </c>
      <c r="F897">
        <v>0</v>
      </c>
    </row>
    <row r="898" spans="1:6">
      <c r="A898">
        <v>996</v>
      </c>
      <c r="B898" t="s">
        <v>483</v>
      </c>
      <c r="C898">
        <v>1</v>
      </c>
      <c r="D898" s="1">
        <v>45944</v>
      </c>
      <c r="E898">
        <v>385</v>
      </c>
      <c r="F898">
        <v>0</v>
      </c>
    </row>
    <row r="899" spans="1:6">
      <c r="A899">
        <v>892</v>
      </c>
      <c r="B899" t="s">
        <v>803</v>
      </c>
      <c r="C899">
        <v>1</v>
      </c>
      <c r="D899" s="1">
        <v>45946</v>
      </c>
      <c r="E899">
        <v>53.95</v>
      </c>
      <c r="F899">
        <v>0</v>
      </c>
    </row>
    <row r="900" spans="1:6">
      <c r="A900">
        <v>946</v>
      </c>
      <c r="B900" t="s">
        <v>471</v>
      </c>
      <c r="C900">
        <v>1</v>
      </c>
      <c r="D900" s="1">
        <v>45946</v>
      </c>
      <c r="E900">
        <v>316.44</v>
      </c>
      <c r="F900">
        <v>0</v>
      </c>
    </row>
    <row r="901" spans="1:6">
      <c r="A901">
        <v>927</v>
      </c>
      <c r="B901" t="s">
        <v>424</v>
      </c>
      <c r="C901">
        <v>1</v>
      </c>
      <c r="D901" s="1">
        <v>45947</v>
      </c>
      <c r="E901">
        <v>560.78</v>
      </c>
      <c r="F901">
        <v>0</v>
      </c>
    </row>
    <row r="902" spans="1:6">
      <c r="A902">
        <v>893</v>
      </c>
      <c r="B902" t="s">
        <v>803</v>
      </c>
      <c r="C902">
        <v>3</v>
      </c>
      <c r="D902" s="1">
        <v>45951</v>
      </c>
      <c r="E902">
        <v>53.95</v>
      </c>
      <c r="F902">
        <v>0</v>
      </c>
    </row>
    <row r="903" spans="1:6">
      <c r="A903">
        <v>894</v>
      </c>
      <c r="B903" t="s">
        <v>803</v>
      </c>
      <c r="C903">
        <v>3</v>
      </c>
      <c r="D903" s="1">
        <v>45951</v>
      </c>
      <c r="E903">
        <v>53.95</v>
      </c>
      <c r="F903">
        <v>0</v>
      </c>
    </row>
    <row r="904" spans="1:6">
      <c r="A904">
        <v>895</v>
      </c>
      <c r="B904" t="s">
        <v>800</v>
      </c>
      <c r="C904">
        <v>1</v>
      </c>
      <c r="D904" s="1">
        <v>45951</v>
      </c>
      <c r="E904">
        <v>24.1</v>
      </c>
      <c r="F904">
        <v>0</v>
      </c>
    </row>
    <row r="905" spans="1:6">
      <c r="A905">
        <v>896</v>
      </c>
      <c r="B905" t="s">
        <v>468</v>
      </c>
      <c r="C905">
        <v>1</v>
      </c>
      <c r="D905" s="1">
        <v>45952</v>
      </c>
      <c r="E905">
        <v>7.95</v>
      </c>
      <c r="F905">
        <v>0</v>
      </c>
    </row>
    <row r="906" spans="1:6">
      <c r="A906">
        <v>897</v>
      </c>
      <c r="B906" t="s">
        <v>327</v>
      </c>
      <c r="C906">
        <v>1</v>
      </c>
      <c r="D906" s="1">
        <v>45952</v>
      </c>
      <c r="E906">
        <v>547.4</v>
      </c>
      <c r="F906">
        <v>0</v>
      </c>
    </row>
    <row r="907" spans="1:6">
      <c r="A907">
        <v>898</v>
      </c>
      <c r="B907" t="s">
        <v>471</v>
      </c>
      <c r="C907">
        <v>1</v>
      </c>
      <c r="D907" s="1">
        <v>45953</v>
      </c>
      <c r="E907">
        <v>316.44</v>
      </c>
      <c r="F907">
        <v>0</v>
      </c>
    </row>
    <row r="908" spans="1:6">
      <c r="A908">
        <v>899</v>
      </c>
      <c r="B908" t="s">
        <v>886</v>
      </c>
      <c r="C908">
        <v>4</v>
      </c>
      <c r="D908" s="1">
        <v>45953</v>
      </c>
      <c r="E908">
        <v>35.75</v>
      </c>
      <c r="F908">
        <v>0</v>
      </c>
    </row>
    <row r="909" spans="1:6">
      <c r="A909">
        <v>900</v>
      </c>
      <c r="B909" t="s">
        <v>800</v>
      </c>
      <c r="C909">
        <v>4</v>
      </c>
      <c r="D909" s="1">
        <v>45953</v>
      </c>
      <c r="E909">
        <v>24.1</v>
      </c>
      <c r="F909">
        <v>0</v>
      </c>
    </row>
    <row r="910" spans="1:6">
      <c r="A910">
        <v>901</v>
      </c>
      <c r="B910" t="s">
        <v>803</v>
      </c>
      <c r="C910">
        <v>1</v>
      </c>
      <c r="D910" s="1">
        <v>45954</v>
      </c>
      <c r="E910">
        <v>53.95</v>
      </c>
      <c r="F910">
        <v>0</v>
      </c>
    </row>
    <row r="911" spans="1:6">
      <c r="A911">
        <v>902</v>
      </c>
      <c r="B911" t="s">
        <v>455</v>
      </c>
      <c r="C911">
        <v>1</v>
      </c>
      <c r="D911" s="1">
        <v>45956</v>
      </c>
      <c r="E911">
        <v>80</v>
      </c>
      <c r="F911">
        <v>0</v>
      </c>
    </row>
    <row r="912" spans="1:6">
      <c r="A912">
        <v>903</v>
      </c>
      <c r="B912" t="s">
        <v>469</v>
      </c>
      <c r="C912">
        <v>1</v>
      </c>
      <c r="D912" s="1">
        <v>45957</v>
      </c>
      <c r="E912">
        <v>7.95</v>
      </c>
      <c r="F912">
        <v>0</v>
      </c>
    </row>
    <row r="913" spans="1:6">
      <c r="A913">
        <v>904</v>
      </c>
      <c r="B913" t="s">
        <v>803</v>
      </c>
      <c r="C913">
        <v>2</v>
      </c>
      <c r="D913" s="1">
        <v>45957</v>
      </c>
      <c r="E913">
        <v>53.95</v>
      </c>
      <c r="F913">
        <v>0</v>
      </c>
    </row>
    <row r="914" spans="1:6">
      <c r="A914">
        <v>905</v>
      </c>
      <c r="B914" t="s">
        <v>886</v>
      </c>
      <c r="C914">
        <v>1</v>
      </c>
      <c r="D914" s="1">
        <v>45958</v>
      </c>
      <c r="E914">
        <v>35.75</v>
      </c>
      <c r="F914">
        <v>0</v>
      </c>
    </row>
    <row r="915" spans="1:6">
      <c r="A915">
        <v>906</v>
      </c>
      <c r="B915" t="s">
        <v>886</v>
      </c>
      <c r="C915">
        <v>1</v>
      </c>
      <c r="D915" s="1">
        <v>45960</v>
      </c>
      <c r="E915">
        <v>35.75</v>
      </c>
      <c r="F915">
        <v>0</v>
      </c>
    </row>
    <row r="916" spans="1:6">
      <c r="A916">
        <v>907</v>
      </c>
      <c r="B916" t="s">
        <v>471</v>
      </c>
      <c r="C916">
        <v>1</v>
      </c>
      <c r="D916" s="1">
        <v>45960</v>
      </c>
      <c r="E916">
        <v>316.44</v>
      </c>
      <c r="F916">
        <v>0</v>
      </c>
    </row>
    <row r="917" spans="1:6">
      <c r="A917">
        <v>908</v>
      </c>
      <c r="B917" t="s">
        <v>800</v>
      </c>
      <c r="C917">
        <v>1</v>
      </c>
      <c r="D917" s="1">
        <v>45960</v>
      </c>
      <c r="E917">
        <v>24.1</v>
      </c>
      <c r="F917">
        <v>0</v>
      </c>
    </row>
    <row r="918" spans="1:6">
      <c r="A918">
        <v>909</v>
      </c>
      <c r="B918" t="s">
        <v>803</v>
      </c>
      <c r="C918">
        <v>1</v>
      </c>
      <c r="D918" s="1">
        <v>45960</v>
      </c>
      <c r="E918">
        <v>53.95</v>
      </c>
      <c r="F918">
        <v>0</v>
      </c>
    </row>
    <row r="919" spans="1:6">
      <c r="A919">
        <v>910</v>
      </c>
      <c r="B919" t="s">
        <v>822</v>
      </c>
      <c r="C919">
        <v>5</v>
      </c>
      <c r="D919" s="1">
        <v>45960</v>
      </c>
      <c r="E919">
        <v>124.25</v>
      </c>
      <c r="F919">
        <v>0</v>
      </c>
    </row>
    <row r="920" spans="1:6">
      <c r="A920">
        <v>911</v>
      </c>
      <c r="B920" t="s">
        <v>838</v>
      </c>
      <c r="C920">
        <v>1</v>
      </c>
      <c r="D920" s="1">
        <v>45961</v>
      </c>
      <c r="E920">
        <v>391</v>
      </c>
      <c r="F920">
        <v>0</v>
      </c>
    </row>
    <row r="921" spans="1:6">
      <c r="A921">
        <v>912</v>
      </c>
      <c r="B921" t="s">
        <v>477</v>
      </c>
      <c r="C921">
        <v>6</v>
      </c>
      <c r="D921" s="1">
        <v>45961</v>
      </c>
      <c r="E921">
        <v>3.38</v>
      </c>
      <c r="F921">
        <v>0</v>
      </c>
    </row>
    <row r="922" spans="1:6">
      <c r="A922">
        <v>913</v>
      </c>
      <c r="B922" t="s">
        <v>468</v>
      </c>
      <c r="C922">
        <v>10</v>
      </c>
      <c r="D922" s="1">
        <v>45961</v>
      </c>
      <c r="E922">
        <v>7.95</v>
      </c>
      <c r="F922">
        <v>0</v>
      </c>
    </row>
    <row r="923" spans="1:6">
      <c r="A923">
        <v>914</v>
      </c>
      <c r="B923" t="s">
        <v>469</v>
      </c>
      <c r="C923">
        <v>2</v>
      </c>
      <c r="D923" s="1">
        <v>45961</v>
      </c>
      <c r="E923">
        <v>7.95</v>
      </c>
      <c r="F923">
        <v>0</v>
      </c>
    </row>
    <row r="924" spans="1:6">
      <c r="A924">
        <v>915</v>
      </c>
      <c r="B924" t="s">
        <v>968</v>
      </c>
      <c r="C924">
        <v>2</v>
      </c>
      <c r="D924" s="1">
        <v>45961</v>
      </c>
      <c r="E924">
        <v>4.79</v>
      </c>
      <c r="F924">
        <v>0</v>
      </c>
    </row>
    <row r="925" spans="1:6">
      <c r="A925">
        <v>916</v>
      </c>
      <c r="B925" t="s">
        <v>800</v>
      </c>
      <c r="C925">
        <v>8</v>
      </c>
      <c r="D925" s="1">
        <v>45961</v>
      </c>
      <c r="E925">
        <v>24.1</v>
      </c>
      <c r="F925">
        <v>0</v>
      </c>
    </row>
    <row r="926" spans="1:6">
      <c r="A926">
        <v>917</v>
      </c>
      <c r="B926" t="s">
        <v>886</v>
      </c>
      <c r="C926">
        <v>2</v>
      </c>
      <c r="D926" s="1">
        <v>45961</v>
      </c>
      <c r="E926">
        <v>35.75</v>
      </c>
      <c r="F926">
        <v>0</v>
      </c>
    </row>
    <row r="927" spans="1:6">
      <c r="A927">
        <v>918</v>
      </c>
      <c r="B927" t="s">
        <v>486</v>
      </c>
      <c r="C927">
        <v>1</v>
      </c>
      <c r="D927" s="1">
        <v>45964</v>
      </c>
      <c r="E927">
        <v>108.27</v>
      </c>
      <c r="F927">
        <v>0</v>
      </c>
    </row>
    <row r="928" spans="1:6">
      <c r="A928">
        <v>919</v>
      </c>
      <c r="B928" t="s">
        <v>486</v>
      </c>
      <c r="C928">
        <v>1</v>
      </c>
      <c r="D928" s="1">
        <v>45964</v>
      </c>
      <c r="E928">
        <v>108.27</v>
      </c>
      <c r="F928">
        <v>0</v>
      </c>
    </row>
    <row r="929" spans="1:6">
      <c r="A929">
        <v>920</v>
      </c>
      <c r="B929" t="s">
        <v>486</v>
      </c>
      <c r="C929">
        <v>1</v>
      </c>
      <c r="D929" s="1">
        <v>45964</v>
      </c>
      <c r="E929">
        <v>108.27</v>
      </c>
      <c r="F929">
        <v>0</v>
      </c>
    </row>
    <row r="930" spans="1:6">
      <c r="A930">
        <v>982</v>
      </c>
      <c r="B930" t="s">
        <v>795</v>
      </c>
      <c r="C930">
        <v>1</v>
      </c>
      <c r="D930" s="1">
        <v>45964</v>
      </c>
      <c r="E930">
        <v>776.9</v>
      </c>
      <c r="F930">
        <v>0</v>
      </c>
    </row>
    <row r="931" spans="1:6">
      <c r="A931">
        <v>921</v>
      </c>
      <c r="B931" t="s">
        <v>820</v>
      </c>
      <c r="C931">
        <v>1</v>
      </c>
      <c r="D931" s="1">
        <v>45966</v>
      </c>
      <c r="E931">
        <v>73.5</v>
      </c>
      <c r="F931">
        <v>0</v>
      </c>
    </row>
    <row r="932" spans="1:6">
      <c r="A932">
        <v>922</v>
      </c>
      <c r="B932" t="s">
        <v>800</v>
      </c>
      <c r="C932">
        <v>1</v>
      </c>
      <c r="D932" s="1">
        <v>45973</v>
      </c>
      <c r="E932">
        <v>24.1</v>
      </c>
      <c r="F932">
        <v>0</v>
      </c>
    </row>
    <row r="933" spans="1:6">
      <c r="A933">
        <v>980</v>
      </c>
      <c r="B933" t="s">
        <v>471</v>
      </c>
      <c r="C933">
        <v>1</v>
      </c>
      <c r="D933" s="1">
        <v>45973</v>
      </c>
      <c r="E933">
        <v>316.44</v>
      </c>
      <c r="F933">
        <v>0</v>
      </c>
    </row>
    <row r="934" spans="1:6">
      <c r="A934">
        <v>923</v>
      </c>
      <c r="B934" t="s">
        <v>803</v>
      </c>
      <c r="C934">
        <v>1</v>
      </c>
      <c r="D934" s="1">
        <v>45974</v>
      </c>
      <c r="E934">
        <v>53.95</v>
      </c>
      <c r="F934">
        <v>0</v>
      </c>
    </row>
    <row r="935" spans="1:6">
      <c r="A935">
        <v>924</v>
      </c>
      <c r="B935" t="s">
        <v>803</v>
      </c>
      <c r="C935">
        <v>5</v>
      </c>
      <c r="D935" s="1">
        <v>45974</v>
      </c>
      <c r="E935">
        <v>53.95</v>
      </c>
      <c r="F935">
        <v>0</v>
      </c>
    </row>
    <row r="936" spans="1:6">
      <c r="A936">
        <v>925</v>
      </c>
      <c r="B936" t="s">
        <v>886</v>
      </c>
      <c r="C936">
        <v>1</v>
      </c>
      <c r="D936" s="1">
        <v>45974</v>
      </c>
      <c r="E936">
        <v>35.75</v>
      </c>
      <c r="F936">
        <v>0</v>
      </c>
    </row>
    <row r="937" spans="1:6">
      <c r="A937">
        <v>926</v>
      </c>
      <c r="B937" t="s">
        <v>455</v>
      </c>
      <c r="C937">
        <v>1</v>
      </c>
      <c r="D937" s="1">
        <v>45978</v>
      </c>
      <c r="E937">
        <v>80</v>
      </c>
      <c r="F937">
        <v>0</v>
      </c>
    </row>
    <row r="938" spans="1:6">
      <c r="A938">
        <v>928</v>
      </c>
      <c r="B938" t="s">
        <v>424</v>
      </c>
      <c r="C938">
        <v>1</v>
      </c>
      <c r="D938" s="1">
        <v>45978</v>
      </c>
      <c r="E938">
        <v>560.78</v>
      </c>
      <c r="F938">
        <v>0</v>
      </c>
    </row>
    <row r="939" spans="1:6">
      <c r="A939">
        <v>929</v>
      </c>
      <c r="B939" t="s">
        <v>803</v>
      </c>
      <c r="C939">
        <v>3</v>
      </c>
      <c r="D939" s="1">
        <v>45980</v>
      </c>
      <c r="E939">
        <v>53.95</v>
      </c>
      <c r="F939">
        <v>0</v>
      </c>
    </row>
    <row r="940" spans="1:6">
      <c r="A940">
        <v>930</v>
      </c>
      <c r="B940" t="s">
        <v>838</v>
      </c>
      <c r="C940">
        <v>1</v>
      </c>
      <c r="D940" s="1">
        <v>45980</v>
      </c>
      <c r="E940">
        <v>391</v>
      </c>
      <c r="F940">
        <v>0</v>
      </c>
    </row>
    <row r="941" spans="1:6">
      <c r="A941">
        <v>931</v>
      </c>
      <c r="B941" t="s">
        <v>468</v>
      </c>
      <c r="C941">
        <v>1</v>
      </c>
      <c r="D941" s="1">
        <v>45982</v>
      </c>
      <c r="E941">
        <v>7.95</v>
      </c>
      <c r="F941">
        <v>0</v>
      </c>
    </row>
    <row r="942" spans="1:6">
      <c r="A942">
        <v>932</v>
      </c>
      <c r="B942" t="s">
        <v>468</v>
      </c>
      <c r="C942">
        <v>7</v>
      </c>
      <c r="D942" s="1">
        <v>45982</v>
      </c>
      <c r="E942">
        <v>7.95</v>
      </c>
      <c r="F942">
        <v>0</v>
      </c>
    </row>
    <row r="943" spans="1:6">
      <c r="A943">
        <v>933</v>
      </c>
      <c r="B943" t="s">
        <v>469</v>
      </c>
      <c r="C943">
        <v>6</v>
      </c>
      <c r="D943" s="1">
        <v>45982</v>
      </c>
      <c r="E943">
        <v>7.95</v>
      </c>
      <c r="F943">
        <v>0</v>
      </c>
    </row>
    <row r="944" spans="1:6">
      <c r="A944">
        <v>934</v>
      </c>
      <c r="B944" t="s">
        <v>823</v>
      </c>
      <c r="C944">
        <v>1</v>
      </c>
      <c r="D944" s="1">
        <v>45982</v>
      </c>
      <c r="E944">
        <v>27.1</v>
      </c>
      <c r="F944">
        <v>0</v>
      </c>
    </row>
    <row r="945" spans="1:6">
      <c r="A945">
        <v>935</v>
      </c>
      <c r="B945" t="s">
        <v>800</v>
      </c>
      <c r="C945">
        <v>1</v>
      </c>
      <c r="D945" s="1">
        <v>45986</v>
      </c>
      <c r="E945">
        <v>24.1</v>
      </c>
      <c r="F945">
        <v>0</v>
      </c>
    </row>
    <row r="946" spans="1:6">
      <c r="A946">
        <v>936</v>
      </c>
      <c r="B946" t="s">
        <v>468</v>
      </c>
      <c r="C946">
        <v>2</v>
      </c>
      <c r="D946" s="1">
        <v>45986</v>
      </c>
      <c r="E946">
        <v>7.95</v>
      </c>
      <c r="F946">
        <v>0</v>
      </c>
    </row>
    <row r="947" spans="1:6">
      <c r="A947">
        <v>937</v>
      </c>
      <c r="B947" t="s">
        <v>469</v>
      </c>
      <c r="C947">
        <v>3</v>
      </c>
      <c r="D947" s="1">
        <v>45986</v>
      </c>
      <c r="E947">
        <v>7.95</v>
      </c>
      <c r="F947">
        <v>0</v>
      </c>
    </row>
    <row r="948" spans="1:6">
      <c r="A948">
        <v>938</v>
      </c>
      <c r="B948" t="s">
        <v>477</v>
      </c>
      <c r="C948">
        <v>2</v>
      </c>
      <c r="D948" s="1">
        <v>45986</v>
      </c>
      <c r="E948">
        <v>3.38</v>
      </c>
      <c r="F948">
        <v>0</v>
      </c>
    </row>
    <row r="949" spans="1:6">
      <c r="A949">
        <v>939</v>
      </c>
      <c r="B949" t="s">
        <v>968</v>
      </c>
      <c r="C949">
        <v>2</v>
      </c>
      <c r="D949" s="1">
        <v>45986</v>
      </c>
      <c r="E949">
        <v>4.79</v>
      </c>
      <c r="F949">
        <v>0</v>
      </c>
    </row>
    <row r="950" spans="1:6">
      <c r="A950">
        <v>941</v>
      </c>
      <c r="B950" t="s">
        <v>800</v>
      </c>
      <c r="C950">
        <v>11</v>
      </c>
      <c r="D950" s="1">
        <v>45986</v>
      </c>
      <c r="E950">
        <v>24.1</v>
      </c>
      <c r="F950">
        <v>0</v>
      </c>
    </row>
    <row r="951" spans="1:6">
      <c r="A951">
        <v>942</v>
      </c>
      <c r="B951" t="s">
        <v>838</v>
      </c>
      <c r="C951">
        <v>2</v>
      </c>
      <c r="D951" s="1">
        <v>45986</v>
      </c>
      <c r="E951">
        <v>391</v>
      </c>
      <c r="F951">
        <v>0</v>
      </c>
    </row>
    <row r="952" spans="1:6">
      <c r="A952">
        <v>943</v>
      </c>
      <c r="B952" t="s">
        <v>471</v>
      </c>
      <c r="C952">
        <v>1</v>
      </c>
      <c r="D952" s="1">
        <v>45986</v>
      </c>
      <c r="E952">
        <v>316.44</v>
      </c>
      <c r="F952">
        <v>0</v>
      </c>
    </row>
    <row r="953" spans="1:6">
      <c r="A953">
        <v>947</v>
      </c>
      <c r="B953" t="s">
        <v>823</v>
      </c>
      <c r="C953">
        <v>11</v>
      </c>
      <c r="D953" s="1">
        <v>45986</v>
      </c>
      <c r="E953">
        <v>27.1</v>
      </c>
      <c r="F953">
        <v>0</v>
      </c>
    </row>
    <row r="954" spans="1:6">
      <c r="A954">
        <v>948</v>
      </c>
      <c r="B954" t="s">
        <v>823</v>
      </c>
      <c r="C954">
        <v>5</v>
      </c>
      <c r="D954" s="1">
        <v>45988</v>
      </c>
      <c r="E954">
        <v>27.1</v>
      </c>
      <c r="F954">
        <v>0</v>
      </c>
    </row>
    <row r="955" spans="1:6">
      <c r="A955">
        <v>949</v>
      </c>
      <c r="B955" t="s">
        <v>800</v>
      </c>
      <c r="C955">
        <v>1</v>
      </c>
      <c r="D955" s="1">
        <v>45988</v>
      </c>
      <c r="E955">
        <v>24.1</v>
      </c>
      <c r="F955">
        <v>0</v>
      </c>
    </row>
    <row r="956" spans="1:6">
      <c r="A956">
        <v>950</v>
      </c>
      <c r="B956" t="s">
        <v>952</v>
      </c>
      <c r="C956">
        <v>1</v>
      </c>
      <c r="D956" s="1">
        <v>45989</v>
      </c>
      <c r="E956">
        <v>22.36</v>
      </c>
      <c r="F956">
        <v>0</v>
      </c>
    </row>
    <row r="957" spans="1:6">
      <c r="A957">
        <v>951</v>
      </c>
      <c r="B957" t="s">
        <v>823</v>
      </c>
      <c r="C957">
        <v>1</v>
      </c>
      <c r="D957" s="1">
        <v>45992</v>
      </c>
      <c r="E957">
        <v>27.1</v>
      </c>
      <c r="F957">
        <v>0</v>
      </c>
    </row>
    <row r="958" spans="1:6">
      <c r="A958">
        <v>952</v>
      </c>
      <c r="B958" t="s">
        <v>469</v>
      </c>
      <c r="C958">
        <v>1</v>
      </c>
      <c r="D958" s="1">
        <v>45993</v>
      </c>
      <c r="E958">
        <v>7.95</v>
      </c>
      <c r="F958">
        <v>0</v>
      </c>
    </row>
    <row r="959" spans="1:6">
      <c r="A959">
        <v>972</v>
      </c>
      <c r="B959" t="s">
        <v>471</v>
      </c>
      <c r="C959">
        <v>1</v>
      </c>
      <c r="D959" s="1">
        <v>45994</v>
      </c>
      <c r="E959">
        <v>316.44</v>
      </c>
      <c r="F959">
        <v>0</v>
      </c>
    </row>
    <row r="960" spans="1:6">
      <c r="A960">
        <v>953</v>
      </c>
      <c r="B960" t="s">
        <v>803</v>
      </c>
      <c r="C960">
        <v>1</v>
      </c>
      <c r="D960" s="1">
        <v>45995</v>
      </c>
      <c r="E960">
        <v>53.95</v>
      </c>
      <c r="F960">
        <v>0</v>
      </c>
    </row>
    <row r="961" spans="1:6">
      <c r="A961">
        <v>954</v>
      </c>
      <c r="B961" t="s">
        <v>887</v>
      </c>
      <c r="C961">
        <v>1</v>
      </c>
      <c r="D961" s="1">
        <v>45995</v>
      </c>
      <c r="E961">
        <v>412</v>
      </c>
      <c r="F961">
        <v>0</v>
      </c>
    </row>
    <row r="962" spans="1:6">
      <c r="A962">
        <v>955</v>
      </c>
      <c r="B962" t="s">
        <v>887</v>
      </c>
      <c r="C962">
        <v>1</v>
      </c>
      <c r="D962" s="1">
        <v>45995</v>
      </c>
      <c r="E962">
        <v>412</v>
      </c>
      <c r="F962">
        <v>0</v>
      </c>
    </row>
    <row r="963" spans="1:6">
      <c r="A963">
        <v>956</v>
      </c>
      <c r="B963" t="s">
        <v>800</v>
      </c>
      <c r="C963">
        <v>1</v>
      </c>
      <c r="D963" s="1">
        <v>45995</v>
      </c>
      <c r="E963">
        <v>24.1</v>
      </c>
      <c r="F963">
        <v>0</v>
      </c>
    </row>
    <row r="964" spans="1:6">
      <c r="A964">
        <v>957</v>
      </c>
      <c r="B964" t="s">
        <v>968</v>
      </c>
      <c r="C964">
        <v>5</v>
      </c>
      <c r="D964" s="1">
        <v>45996</v>
      </c>
      <c r="E964">
        <v>4.79</v>
      </c>
      <c r="F964">
        <v>0</v>
      </c>
    </row>
    <row r="965" spans="1:6">
      <c r="A965">
        <v>962</v>
      </c>
      <c r="B965" t="s">
        <v>466</v>
      </c>
      <c r="C965">
        <v>1</v>
      </c>
      <c r="D965" s="1">
        <v>45996</v>
      </c>
      <c r="E965">
        <v>390</v>
      </c>
      <c r="F965">
        <v>0</v>
      </c>
    </row>
    <row r="966" spans="1:6">
      <c r="A966">
        <v>958</v>
      </c>
      <c r="B966" t="s">
        <v>823</v>
      </c>
      <c r="C966">
        <v>1</v>
      </c>
      <c r="D966" s="1">
        <v>45999</v>
      </c>
      <c r="E966">
        <v>27.1</v>
      </c>
      <c r="F966">
        <v>0</v>
      </c>
    </row>
    <row r="967" spans="1:6">
      <c r="A967">
        <v>959</v>
      </c>
      <c r="B967" t="s">
        <v>823</v>
      </c>
      <c r="C967">
        <v>1</v>
      </c>
      <c r="D967" s="1">
        <v>46000</v>
      </c>
      <c r="E967">
        <v>27.1</v>
      </c>
      <c r="F967">
        <v>0</v>
      </c>
    </row>
    <row r="968" spans="1:6">
      <c r="A968">
        <v>960</v>
      </c>
      <c r="B968" t="s">
        <v>424</v>
      </c>
      <c r="C968">
        <v>1</v>
      </c>
      <c r="D968" s="1">
        <v>46001</v>
      </c>
      <c r="E968">
        <v>560.78</v>
      </c>
      <c r="F968">
        <v>0</v>
      </c>
    </row>
    <row r="969" spans="1:6">
      <c r="A969">
        <v>961</v>
      </c>
      <c r="B969" t="s">
        <v>838</v>
      </c>
      <c r="C969">
        <v>1</v>
      </c>
      <c r="D969" s="1">
        <v>46002</v>
      </c>
      <c r="E969">
        <v>391</v>
      </c>
      <c r="F969">
        <v>0</v>
      </c>
    </row>
    <row r="970" spans="1:6">
      <c r="A970">
        <v>963</v>
      </c>
      <c r="B970" t="s">
        <v>823</v>
      </c>
      <c r="C970">
        <v>1</v>
      </c>
      <c r="D970" s="1">
        <v>46002</v>
      </c>
      <c r="E970">
        <v>27.1</v>
      </c>
      <c r="F970">
        <v>0</v>
      </c>
    </row>
    <row r="971" spans="1:6">
      <c r="A971">
        <v>964</v>
      </c>
      <c r="B971" t="s">
        <v>800</v>
      </c>
      <c r="C971">
        <v>1</v>
      </c>
      <c r="D971" s="1">
        <v>46003</v>
      </c>
      <c r="E971">
        <v>24.1</v>
      </c>
      <c r="F971">
        <v>0</v>
      </c>
    </row>
    <row r="972" spans="1:6">
      <c r="A972">
        <v>965</v>
      </c>
      <c r="B972" t="s">
        <v>803</v>
      </c>
      <c r="C972">
        <v>1</v>
      </c>
      <c r="D972" s="1">
        <v>46003</v>
      </c>
      <c r="E972">
        <v>53.95</v>
      </c>
      <c r="F972">
        <v>0</v>
      </c>
    </row>
    <row r="973" spans="1:6">
      <c r="A973">
        <v>981</v>
      </c>
      <c r="B973" t="s">
        <v>327</v>
      </c>
      <c r="C973">
        <v>1</v>
      </c>
      <c r="D973" s="1">
        <v>46003</v>
      </c>
      <c r="E973">
        <v>547.4</v>
      </c>
      <c r="F973">
        <v>0</v>
      </c>
    </row>
    <row r="974" spans="1:6">
      <c r="A974">
        <v>966</v>
      </c>
      <c r="B974" t="s">
        <v>823</v>
      </c>
      <c r="C974">
        <v>1</v>
      </c>
      <c r="D974" s="1">
        <v>46006</v>
      </c>
      <c r="E974">
        <v>27.1</v>
      </c>
      <c r="F974">
        <v>0</v>
      </c>
    </row>
    <row r="975" spans="1:6">
      <c r="A975">
        <v>967</v>
      </c>
      <c r="B975" t="s">
        <v>820</v>
      </c>
      <c r="C975">
        <v>1</v>
      </c>
      <c r="D975" s="1">
        <v>46006</v>
      </c>
      <c r="E975">
        <v>73.5</v>
      </c>
      <c r="F975">
        <v>0</v>
      </c>
    </row>
    <row r="976" spans="1:6">
      <c r="A976">
        <v>968</v>
      </c>
      <c r="B976" t="s">
        <v>803</v>
      </c>
      <c r="C976">
        <v>10</v>
      </c>
      <c r="D976" s="1">
        <v>46007</v>
      </c>
      <c r="E976">
        <v>53.95</v>
      </c>
      <c r="F976">
        <v>0</v>
      </c>
    </row>
    <row r="977" spans="1:6">
      <c r="A977">
        <v>969</v>
      </c>
      <c r="B977" t="s">
        <v>803</v>
      </c>
      <c r="C977">
        <v>5</v>
      </c>
      <c r="D977" s="1">
        <v>46007</v>
      </c>
      <c r="E977">
        <v>53.95</v>
      </c>
      <c r="F977">
        <v>0</v>
      </c>
    </row>
    <row r="978" spans="1:6">
      <c r="A978">
        <v>970</v>
      </c>
      <c r="B978" t="s">
        <v>800</v>
      </c>
      <c r="C978">
        <v>9</v>
      </c>
      <c r="D978" s="1">
        <v>46007</v>
      </c>
      <c r="E978">
        <v>24.1</v>
      </c>
      <c r="F978">
        <v>0</v>
      </c>
    </row>
    <row r="979" spans="1:6">
      <c r="A979">
        <v>971</v>
      </c>
      <c r="B979" t="s">
        <v>823</v>
      </c>
      <c r="C979">
        <v>1</v>
      </c>
      <c r="D979" s="1">
        <v>46008</v>
      </c>
      <c r="E979">
        <v>27.1</v>
      </c>
      <c r="F979">
        <v>0</v>
      </c>
    </row>
    <row r="980" spans="1:6">
      <c r="A980">
        <v>973</v>
      </c>
      <c r="B980" t="s">
        <v>471</v>
      </c>
      <c r="C980">
        <v>1</v>
      </c>
      <c r="D980" s="1">
        <v>46008</v>
      </c>
      <c r="E980">
        <v>316.44</v>
      </c>
      <c r="F980">
        <v>0</v>
      </c>
    </row>
    <row r="981" spans="1:6">
      <c r="A981">
        <v>974</v>
      </c>
      <c r="B981" t="s">
        <v>800</v>
      </c>
      <c r="C981">
        <v>1</v>
      </c>
      <c r="D981" s="1">
        <v>46008</v>
      </c>
      <c r="E981">
        <v>24.1</v>
      </c>
      <c r="F981">
        <v>0</v>
      </c>
    </row>
    <row r="982" spans="1:6">
      <c r="A982">
        <v>975</v>
      </c>
      <c r="B982" t="s">
        <v>468</v>
      </c>
      <c r="C982">
        <v>1</v>
      </c>
      <c r="D982" s="1">
        <v>46008</v>
      </c>
      <c r="E982">
        <v>7.95</v>
      </c>
      <c r="F982">
        <v>0</v>
      </c>
    </row>
    <row r="983" spans="1:6">
      <c r="A983">
        <v>977</v>
      </c>
      <c r="B983" t="s">
        <v>468</v>
      </c>
      <c r="C983">
        <v>8</v>
      </c>
      <c r="D983" s="1">
        <v>46009</v>
      </c>
      <c r="E983">
        <v>7.95</v>
      </c>
      <c r="F983">
        <v>0</v>
      </c>
    </row>
    <row r="984" spans="1:6">
      <c r="A984">
        <v>978</v>
      </c>
      <c r="B984" t="s">
        <v>469</v>
      </c>
      <c r="C984">
        <v>4</v>
      </c>
      <c r="D984" s="1">
        <v>46009</v>
      </c>
      <c r="E984">
        <v>7.95</v>
      </c>
      <c r="F984">
        <v>0</v>
      </c>
    </row>
    <row r="985" spans="1:6">
      <c r="A985">
        <v>979</v>
      </c>
      <c r="B985" t="s">
        <v>477</v>
      </c>
      <c r="C985">
        <v>5</v>
      </c>
      <c r="D985" s="1">
        <v>46009</v>
      </c>
      <c r="E985">
        <v>3.38</v>
      </c>
      <c r="F985">
        <v>0</v>
      </c>
    </row>
    <row r="986" spans="1:6">
      <c r="A986">
        <v>984</v>
      </c>
      <c r="B986" t="s">
        <v>823</v>
      </c>
      <c r="C986">
        <v>1</v>
      </c>
      <c r="D986" s="1">
        <v>46010</v>
      </c>
      <c r="E986">
        <v>27.1</v>
      </c>
      <c r="F986">
        <v>0</v>
      </c>
    </row>
    <row r="987" spans="1:6">
      <c r="A987">
        <v>985</v>
      </c>
      <c r="B987" t="s">
        <v>800</v>
      </c>
      <c r="C987">
        <v>1</v>
      </c>
      <c r="D987" s="1">
        <v>46010</v>
      </c>
      <c r="E987">
        <v>24.1</v>
      </c>
      <c r="F987">
        <v>0</v>
      </c>
    </row>
    <row r="988" spans="1:6">
      <c r="A988">
        <v>986</v>
      </c>
      <c r="B988" t="s">
        <v>468</v>
      </c>
      <c r="C988">
        <v>1</v>
      </c>
      <c r="D988" s="1">
        <v>46010</v>
      </c>
      <c r="E988">
        <v>7.95</v>
      </c>
      <c r="F988">
        <v>0</v>
      </c>
    </row>
    <row r="989" spans="1:6">
      <c r="A989">
        <v>987</v>
      </c>
      <c r="B989" t="s">
        <v>968</v>
      </c>
      <c r="C989">
        <v>1</v>
      </c>
      <c r="D989" s="1">
        <v>46010</v>
      </c>
      <c r="E989">
        <v>4.79</v>
      </c>
      <c r="F989">
        <v>0</v>
      </c>
    </row>
    <row r="990" spans="1:6">
      <c r="A990">
        <v>988</v>
      </c>
      <c r="B990" t="s">
        <v>468</v>
      </c>
      <c r="C990">
        <v>1</v>
      </c>
      <c r="D990" s="1">
        <v>46010</v>
      </c>
      <c r="E990">
        <v>7.95</v>
      </c>
      <c r="F990">
        <v>0</v>
      </c>
    </row>
    <row r="991" spans="1:6">
      <c r="A991">
        <v>989</v>
      </c>
      <c r="B991" t="s">
        <v>819</v>
      </c>
      <c r="C991">
        <v>1</v>
      </c>
      <c r="D991" s="1">
        <v>46014</v>
      </c>
      <c r="E991">
        <v>120</v>
      </c>
      <c r="F991">
        <v>0</v>
      </c>
    </row>
    <row r="992" spans="1:6">
      <c r="A992">
        <v>990</v>
      </c>
      <c r="B992" t="s">
        <v>823</v>
      </c>
      <c r="C992">
        <v>1</v>
      </c>
      <c r="D992" s="1">
        <v>46015</v>
      </c>
      <c r="E992">
        <v>27.1</v>
      </c>
      <c r="F992">
        <v>0</v>
      </c>
    </row>
    <row r="993" spans="1:6">
      <c r="A993">
        <v>991</v>
      </c>
      <c r="B993" t="s">
        <v>468</v>
      </c>
      <c r="C993">
        <v>1</v>
      </c>
      <c r="D993" s="1">
        <v>46020</v>
      </c>
      <c r="E993">
        <v>7.95</v>
      </c>
      <c r="F993">
        <v>0</v>
      </c>
    </row>
    <row r="994" spans="1:6">
      <c r="A994">
        <v>992</v>
      </c>
      <c r="B994" t="s">
        <v>823</v>
      </c>
      <c r="C994">
        <v>1</v>
      </c>
      <c r="D994" s="1">
        <v>46021</v>
      </c>
      <c r="E994">
        <v>27.1</v>
      </c>
      <c r="F994">
        <v>0</v>
      </c>
    </row>
    <row r="995" spans="1:6">
      <c r="A995">
        <v>993</v>
      </c>
      <c r="B995" t="s">
        <v>800</v>
      </c>
      <c r="C995">
        <v>1</v>
      </c>
      <c r="D995" s="1">
        <v>46022</v>
      </c>
      <c r="E995">
        <v>24.1</v>
      </c>
      <c r="F995">
        <v>0</v>
      </c>
    </row>
    <row r="996" spans="1:6">
      <c r="A996">
        <v>994</v>
      </c>
      <c r="B996" t="s">
        <v>800</v>
      </c>
      <c r="C996">
        <v>1</v>
      </c>
      <c r="D996" s="1">
        <v>46024</v>
      </c>
      <c r="E996">
        <v>24.1</v>
      </c>
      <c r="F996">
        <v>0</v>
      </c>
    </row>
    <row r="997" spans="1:6">
      <c r="A997">
        <v>995</v>
      </c>
      <c r="B997" t="s">
        <v>471</v>
      </c>
      <c r="C997">
        <v>1</v>
      </c>
      <c r="D997" s="1">
        <v>46028</v>
      </c>
      <c r="E997">
        <v>316.44</v>
      </c>
      <c r="F997">
        <v>0</v>
      </c>
    </row>
    <row r="998" spans="1:6">
      <c r="A998">
        <v>997</v>
      </c>
      <c r="B998" t="s">
        <v>483</v>
      </c>
      <c r="C998">
        <v>1</v>
      </c>
      <c r="D998" s="1">
        <v>46028</v>
      </c>
      <c r="E998">
        <v>385</v>
      </c>
      <c r="F998">
        <v>0</v>
      </c>
    </row>
    <row r="999" spans="1:6">
      <c r="A999">
        <v>998</v>
      </c>
      <c r="B999" t="s">
        <v>823</v>
      </c>
      <c r="C999">
        <v>1</v>
      </c>
      <c r="D999" s="1">
        <v>46028</v>
      </c>
      <c r="E999">
        <v>27.1</v>
      </c>
      <c r="F999">
        <v>0</v>
      </c>
    </row>
    <row r="1000" spans="1:6">
      <c r="A1000">
        <v>999</v>
      </c>
      <c r="B1000" t="s">
        <v>800</v>
      </c>
      <c r="C1000">
        <v>1</v>
      </c>
      <c r="D1000" s="1">
        <v>46029</v>
      </c>
      <c r="E1000">
        <v>24.1</v>
      </c>
      <c r="F1000">
        <v>0</v>
      </c>
    </row>
    <row r="1001" spans="1:6">
      <c r="A1001">
        <v>1000</v>
      </c>
      <c r="B1001" t="s">
        <v>471</v>
      </c>
      <c r="C1001">
        <v>1</v>
      </c>
      <c r="D1001" s="1">
        <v>46029</v>
      </c>
      <c r="E1001">
        <v>316.44</v>
      </c>
      <c r="F1001">
        <v>0</v>
      </c>
    </row>
    <row r="1002" spans="1:6">
      <c r="A1002">
        <v>1001</v>
      </c>
      <c r="B1002" t="s">
        <v>800</v>
      </c>
      <c r="C1002">
        <v>1</v>
      </c>
      <c r="D1002" s="1">
        <v>46034</v>
      </c>
      <c r="E1002">
        <v>24.1</v>
      </c>
      <c r="F1002">
        <v>0</v>
      </c>
    </row>
    <row r="1003" spans="1:6">
      <c r="A1003">
        <v>1002</v>
      </c>
      <c r="B1003" t="s">
        <v>823</v>
      </c>
      <c r="C1003">
        <v>2</v>
      </c>
      <c r="D1003" s="1">
        <v>46034</v>
      </c>
      <c r="E1003">
        <v>27.1</v>
      </c>
      <c r="F1003">
        <v>0</v>
      </c>
    </row>
    <row r="1004" spans="1:6">
      <c r="A1004">
        <v>1003</v>
      </c>
      <c r="B1004" t="s">
        <v>803</v>
      </c>
      <c r="C1004">
        <v>10</v>
      </c>
      <c r="D1004" s="1">
        <v>46034</v>
      </c>
      <c r="E1004">
        <v>53.95</v>
      </c>
      <c r="F1004">
        <v>0</v>
      </c>
    </row>
    <row r="1005" spans="1:6">
      <c r="A1005">
        <v>1004</v>
      </c>
      <c r="B1005" t="s">
        <v>823</v>
      </c>
      <c r="C1005">
        <v>18</v>
      </c>
      <c r="D1005" s="1">
        <v>46035</v>
      </c>
      <c r="E1005">
        <v>27.1</v>
      </c>
      <c r="F1005">
        <v>0</v>
      </c>
    </row>
    <row r="1006" spans="1:6">
      <c r="A1006">
        <v>1005</v>
      </c>
      <c r="B1006" t="s">
        <v>838</v>
      </c>
      <c r="C1006">
        <v>2</v>
      </c>
      <c r="D1006" s="1">
        <v>46035</v>
      </c>
      <c r="E1006">
        <v>391</v>
      </c>
      <c r="F1006">
        <v>0</v>
      </c>
    </row>
    <row r="1007" spans="1:6">
      <c r="A1007">
        <v>1006</v>
      </c>
      <c r="B1007" t="s">
        <v>455</v>
      </c>
      <c r="C1007">
        <v>1</v>
      </c>
      <c r="D1007" s="1">
        <v>46035</v>
      </c>
      <c r="E1007">
        <v>80</v>
      </c>
      <c r="F1007">
        <v>0</v>
      </c>
    </row>
    <row r="1008" spans="1:6">
      <c r="A1008">
        <v>1007</v>
      </c>
      <c r="B1008" t="s">
        <v>800</v>
      </c>
      <c r="C1008">
        <v>7</v>
      </c>
      <c r="D1008" s="1">
        <v>46035</v>
      </c>
      <c r="E1008">
        <v>24.1</v>
      </c>
      <c r="F1008">
        <v>0</v>
      </c>
    </row>
    <row r="1009" spans="1:6">
      <c r="A1009">
        <v>1008</v>
      </c>
      <c r="B1009" t="s">
        <v>886</v>
      </c>
      <c r="C1009">
        <v>11</v>
      </c>
      <c r="D1009" s="1">
        <v>46036</v>
      </c>
      <c r="E1009">
        <v>35.75</v>
      </c>
      <c r="F1009">
        <v>0</v>
      </c>
    </row>
    <row r="1010" spans="1:6">
      <c r="A1010">
        <v>1009</v>
      </c>
      <c r="B1010" t="s">
        <v>800</v>
      </c>
      <c r="C1010">
        <v>1</v>
      </c>
      <c r="D1010" s="1">
        <v>46036</v>
      </c>
      <c r="E1010">
        <v>24.1</v>
      </c>
      <c r="F1010">
        <v>0</v>
      </c>
    </row>
    <row r="1011" spans="1:6">
      <c r="A1011">
        <v>1023</v>
      </c>
      <c r="B1011" t="s">
        <v>53</v>
      </c>
      <c r="C1011">
        <v>1</v>
      </c>
      <c r="D1011" s="1">
        <v>46036</v>
      </c>
      <c r="E1011">
        <v>24.75</v>
      </c>
      <c r="F1011">
        <v>0</v>
      </c>
    </row>
    <row r="1012" spans="1:6">
      <c r="A1012">
        <v>1027</v>
      </c>
      <c r="B1012" t="s">
        <v>53</v>
      </c>
      <c r="C1012">
        <v>1</v>
      </c>
      <c r="D1012" s="1">
        <v>46036</v>
      </c>
      <c r="E1012">
        <v>24.75</v>
      </c>
      <c r="F1012">
        <v>0</v>
      </c>
    </row>
    <row r="1013" spans="1:6">
      <c r="A1013">
        <v>1010</v>
      </c>
      <c r="B1013" t="s">
        <v>823</v>
      </c>
      <c r="C1013">
        <v>1</v>
      </c>
      <c r="D1013" s="1">
        <v>46037</v>
      </c>
      <c r="E1013">
        <v>27.1</v>
      </c>
      <c r="F1013">
        <v>0</v>
      </c>
    </row>
    <row r="1014" spans="1:6">
      <c r="A1014">
        <v>1011</v>
      </c>
      <c r="B1014" t="s">
        <v>800</v>
      </c>
      <c r="C1014">
        <v>1</v>
      </c>
      <c r="D1014" s="1">
        <v>46038</v>
      </c>
      <c r="E1014">
        <v>24.1</v>
      </c>
      <c r="F1014">
        <v>0</v>
      </c>
    </row>
    <row r="1015" spans="1:6">
      <c r="A1015">
        <v>1012</v>
      </c>
      <c r="B1015" t="s">
        <v>823</v>
      </c>
      <c r="C1015">
        <v>1</v>
      </c>
      <c r="D1015" s="1">
        <v>46041</v>
      </c>
      <c r="E1015">
        <v>27.1</v>
      </c>
      <c r="F1015">
        <v>0</v>
      </c>
    </row>
    <row r="1016" spans="1:6">
      <c r="A1016">
        <v>1013</v>
      </c>
      <c r="B1016" t="s">
        <v>952</v>
      </c>
      <c r="C1016">
        <v>1</v>
      </c>
      <c r="D1016" s="1">
        <v>46042</v>
      </c>
      <c r="E1016">
        <v>22.36</v>
      </c>
      <c r="F1016">
        <v>0</v>
      </c>
    </row>
    <row r="1017" spans="1:6">
      <c r="A1017">
        <v>1014</v>
      </c>
      <c r="B1017" t="s">
        <v>424</v>
      </c>
      <c r="C1017">
        <v>1</v>
      </c>
      <c r="D1017" s="1">
        <v>46042</v>
      </c>
      <c r="E1017">
        <v>560.78</v>
      </c>
      <c r="F1017">
        <v>0</v>
      </c>
    </row>
    <row r="1018" spans="1:6">
      <c r="A1018">
        <v>1015</v>
      </c>
      <c r="B1018" t="s">
        <v>823</v>
      </c>
      <c r="C1018">
        <v>1</v>
      </c>
      <c r="D1018" s="1">
        <v>46042</v>
      </c>
      <c r="E1018">
        <v>27.1</v>
      </c>
      <c r="F1018">
        <v>0</v>
      </c>
    </row>
    <row r="1019" spans="1:6">
      <c r="A1019">
        <v>1016</v>
      </c>
      <c r="B1019" t="s">
        <v>468</v>
      </c>
      <c r="C1019">
        <v>1</v>
      </c>
      <c r="D1019" s="1">
        <v>46043</v>
      </c>
      <c r="E1019">
        <v>7.95</v>
      </c>
      <c r="F1019">
        <v>0</v>
      </c>
    </row>
    <row r="1020" spans="1:6">
      <c r="A1020">
        <v>1017</v>
      </c>
      <c r="B1020" t="s">
        <v>468</v>
      </c>
      <c r="C1020">
        <v>1</v>
      </c>
      <c r="D1020" s="1">
        <v>46044</v>
      </c>
      <c r="E1020">
        <v>7.95</v>
      </c>
      <c r="F1020">
        <v>0</v>
      </c>
    </row>
    <row r="1021" spans="1:6">
      <c r="A1021">
        <v>1018</v>
      </c>
      <c r="B1021" t="s">
        <v>468</v>
      </c>
      <c r="C1021">
        <v>1</v>
      </c>
      <c r="D1021" s="1">
        <v>46044</v>
      </c>
      <c r="E1021">
        <v>7.95</v>
      </c>
      <c r="F1021">
        <v>0</v>
      </c>
    </row>
    <row r="1022" spans="1:6">
      <c r="A1022">
        <v>1019</v>
      </c>
      <c r="B1022" t="s">
        <v>477</v>
      </c>
      <c r="C1022">
        <v>1</v>
      </c>
      <c r="D1022" s="1">
        <v>46044</v>
      </c>
      <c r="E1022">
        <v>3.38</v>
      </c>
      <c r="F1022">
        <v>0</v>
      </c>
    </row>
    <row r="1023" spans="1:6">
      <c r="A1023">
        <v>1020</v>
      </c>
      <c r="B1023" t="s">
        <v>800</v>
      </c>
      <c r="C1023">
        <v>1</v>
      </c>
      <c r="D1023" s="1">
        <v>46044</v>
      </c>
      <c r="E1023">
        <v>24.1</v>
      </c>
      <c r="F1023">
        <v>0</v>
      </c>
    </row>
    <row r="1024" spans="1:6">
      <c r="A1024">
        <v>1021</v>
      </c>
      <c r="B1024" t="s">
        <v>800</v>
      </c>
      <c r="C1024">
        <v>2</v>
      </c>
      <c r="D1024" s="1">
        <v>46045</v>
      </c>
      <c r="E1024">
        <v>24.1</v>
      </c>
      <c r="F1024">
        <v>0</v>
      </c>
    </row>
    <row r="1025" spans="1:6">
      <c r="A1025">
        <v>1022</v>
      </c>
      <c r="B1025" t="s">
        <v>823</v>
      </c>
      <c r="C1025">
        <v>1</v>
      </c>
      <c r="D1025" s="1">
        <v>46045</v>
      </c>
      <c r="E1025">
        <v>27.1</v>
      </c>
      <c r="F1025">
        <v>0</v>
      </c>
    </row>
    <row r="1026" spans="1:6">
      <c r="A1026">
        <v>1024</v>
      </c>
      <c r="B1026" t="s">
        <v>803</v>
      </c>
      <c r="C1026">
        <v>10</v>
      </c>
      <c r="D1026" s="1">
        <v>46045</v>
      </c>
      <c r="E1026">
        <v>53.95</v>
      </c>
      <c r="F1026">
        <v>0</v>
      </c>
    </row>
    <row r="1027" spans="1:6">
      <c r="A1027">
        <v>1025</v>
      </c>
      <c r="B1027" t="s">
        <v>803</v>
      </c>
      <c r="C1027">
        <v>3</v>
      </c>
      <c r="D1027" s="1">
        <v>46045</v>
      </c>
      <c r="E1027">
        <v>53.95</v>
      </c>
      <c r="F1027">
        <v>0</v>
      </c>
    </row>
    <row r="1028" spans="1:6">
      <c r="A1028">
        <v>1026</v>
      </c>
      <c r="B1028" t="s">
        <v>838</v>
      </c>
      <c r="C1028">
        <v>2</v>
      </c>
      <c r="D1028" s="1">
        <v>46045</v>
      </c>
      <c r="E1028">
        <v>391</v>
      </c>
      <c r="F1028">
        <v>0</v>
      </c>
    </row>
    <row r="1029" spans="1:6">
      <c r="A1029">
        <v>1028</v>
      </c>
      <c r="B1029" t="s">
        <v>468</v>
      </c>
      <c r="C1029">
        <v>1</v>
      </c>
      <c r="D1029" s="1">
        <v>46049</v>
      </c>
      <c r="E1029">
        <v>7.95</v>
      </c>
      <c r="F1029">
        <v>0</v>
      </c>
    </row>
    <row r="1030" spans="1:6">
      <c r="A1030">
        <v>1029</v>
      </c>
      <c r="B1030" t="s">
        <v>886</v>
      </c>
      <c r="C1030">
        <v>1</v>
      </c>
      <c r="D1030" s="1">
        <v>46050</v>
      </c>
      <c r="E1030">
        <v>35.75</v>
      </c>
      <c r="F1030">
        <v>0</v>
      </c>
    </row>
    <row r="1031" spans="1:6">
      <c r="A1031">
        <v>1030</v>
      </c>
      <c r="B1031" t="s">
        <v>800</v>
      </c>
      <c r="C1031">
        <v>1</v>
      </c>
      <c r="D1031" s="1">
        <v>46056</v>
      </c>
      <c r="E1031">
        <v>24.1</v>
      </c>
      <c r="F1031">
        <v>0</v>
      </c>
    </row>
    <row r="1032" spans="1:6">
      <c r="A1032">
        <v>1031</v>
      </c>
      <c r="B1032" t="s">
        <v>468</v>
      </c>
      <c r="C1032">
        <v>13</v>
      </c>
      <c r="D1032" s="1">
        <v>46057</v>
      </c>
      <c r="E1032">
        <v>7.95</v>
      </c>
      <c r="F1032">
        <v>0</v>
      </c>
    </row>
    <row r="1033" spans="1:6">
      <c r="A1033">
        <v>1032</v>
      </c>
      <c r="B1033" t="s">
        <v>886</v>
      </c>
      <c r="C1033">
        <v>1</v>
      </c>
      <c r="D1033" s="1">
        <v>46058</v>
      </c>
      <c r="E1033">
        <v>35.75</v>
      </c>
      <c r="F1033">
        <v>0</v>
      </c>
    </row>
    <row r="1034" spans="1:6">
      <c r="A1034">
        <v>1033</v>
      </c>
      <c r="B1034" t="s">
        <v>804</v>
      </c>
      <c r="C1034">
        <v>1</v>
      </c>
      <c r="D1034" s="1">
        <v>46058</v>
      </c>
      <c r="E1034">
        <v>28.95</v>
      </c>
      <c r="F1034">
        <v>0</v>
      </c>
    </row>
    <row r="1035" spans="1:6">
      <c r="A1035">
        <v>1034</v>
      </c>
      <c r="B1035" t="s">
        <v>886</v>
      </c>
      <c r="C1035">
        <v>1</v>
      </c>
      <c r="D1035" s="1">
        <v>46058</v>
      </c>
      <c r="E1035">
        <v>35.75</v>
      </c>
      <c r="F1035">
        <v>0</v>
      </c>
    </row>
    <row r="1036" spans="1:6">
      <c r="A1036">
        <v>1035</v>
      </c>
      <c r="B1036" t="s">
        <v>469</v>
      </c>
      <c r="C1036">
        <v>1</v>
      </c>
      <c r="D1036" s="1">
        <v>46059</v>
      </c>
      <c r="E1036">
        <v>7.95</v>
      </c>
      <c r="F1036">
        <v>0</v>
      </c>
    </row>
    <row r="1037" spans="1:6">
      <c r="A1037">
        <v>1036</v>
      </c>
      <c r="B1037" t="s">
        <v>886</v>
      </c>
      <c r="C1037">
        <v>1</v>
      </c>
      <c r="D1037" s="1">
        <v>46059</v>
      </c>
      <c r="E1037">
        <v>35.75</v>
      </c>
      <c r="F1037">
        <v>0</v>
      </c>
    </row>
    <row r="1038" spans="1:6">
      <c r="A1038">
        <v>1037</v>
      </c>
      <c r="B1038" t="s">
        <v>800</v>
      </c>
      <c r="C1038">
        <v>1</v>
      </c>
      <c r="D1038" s="1">
        <v>46062</v>
      </c>
      <c r="E1038">
        <v>24.1</v>
      </c>
      <c r="F1038">
        <v>0</v>
      </c>
    </row>
    <row r="1039" spans="1:6">
      <c r="A1039">
        <v>1038</v>
      </c>
      <c r="B1039" t="s">
        <v>800</v>
      </c>
      <c r="C1039">
        <v>1</v>
      </c>
      <c r="D1039" s="1">
        <v>46063</v>
      </c>
      <c r="E1039">
        <v>24.1</v>
      </c>
      <c r="F1039">
        <v>0</v>
      </c>
    </row>
    <row r="1040" spans="1:6">
      <c r="A1040">
        <v>1039</v>
      </c>
      <c r="B1040" t="s">
        <v>886</v>
      </c>
      <c r="C1040">
        <v>1</v>
      </c>
      <c r="D1040" s="1">
        <v>46064</v>
      </c>
      <c r="E1040">
        <v>35.75</v>
      </c>
      <c r="F1040">
        <v>0</v>
      </c>
    </row>
    <row r="1041" spans="1:6">
      <c r="A1041">
        <v>1040</v>
      </c>
      <c r="B1041" t="s">
        <v>800</v>
      </c>
      <c r="C1041">
        <v>1</v>
      </c>
      <c r="D1041" s="1">
        <v>46064</v>
      </c>
      <c r="E1041">
        <v>24.1</v>
      </c>
      <c r="F1041">
        <v>0</v>
      </c>
    </row>
    <row r="1042" spans="1:6">
      <c r="A1042">
        <v>1041</v>
      </c>
      <c r="B1042" t="s">
        <v>803</v>
      </c>
      <c r="C1042">
        <v>4</v>
      </c>
      <c r="D1042" s="1">
        <v>46066</v>
      </c>
      <c r="E1042">
        <v>53.95</v>
      </c>
      <c r="F1042">
        <v>0</v>
      </c>
    </row>
    <row r="1043" spans="1:6">
      <c r="A1043">
        <v>1042</v>
      </c>
      <c r="B1043" t="s">
        <v>886</v>
      </c>
      <c r="C1043">
        <v>1</v>
      </c>
      <c r="D1043" s="1">
        <v>46066</v>
      </c>
      <c r="E1043">
        <v>35.75</v>
      </c>
      <c r="F1043">
        <v>0</v>
      </c>
    </row>
    <row r="1044" spans="1:6">
      <c r="A1044">
        <v>1043</v>
      </c>
      <c r="B1044" t="s">
        <v>469</v>
      </c>
      <c r="C1044">
        <v>10</v>
      </c>
      <c r="D1044" s="1">
        <v>46066</v>
      </c>
      <c r="E1044">
        <v>7.95</v>
      </c>
      <c r="F1044">
        <v>0</v>
      </c>
    </row>
    <row r="1045" spans="1:6">
      <c r="A1045">
        <v>1044</v>
      </c>
      <c r="B1045" t="s">
        <v>468</v>
      </c>
      <c r="C1045">
        <v>2</v>
      </c>
      <c r="D1045" s="1">
        <v>46066</v>
      </c>
      <c r="E1045">
        <v>7.95</v>
      </c>
      <c r="F1045">
        <v>0</v>
      </c>
    </row>
    <row r="1046" spans="1:6">
      <c r="A1046">
        <v>1045</v>
      </c>
      <c r="B1046" t="s">
        <v>821</v>
      </c>
      <c r="C1046">
        <v>1</v>
      </c>
      <c r="D1046" s="1">
        <v>46070</v>
      </c>
      <c r="E1046">
        <v>119</v>
      </c>
      <c r="F1046">
        <v>0</v>
      </c>
    </row>
    <row r="1047" spans="1:6">
      <c r="A1047">
        <v>1046</v>
      </c>
      <c r="B1047" t="s">
        <v>821</v>
      </c>
      <c r="C1047">
        <v>1</v>
      </c>
      <c r="D1047" s="1">
        <v>46070</v>
      </c>
      <c r="E1047">
        <v>119</v>
      </c>
      <c r="F1047">
        <v>0</v>
      </c>
    </row>
    <row r="1048" spans="1:6">
      <c r="A1048">
        <v>1047</v>
      </c>
      <c r="B1048" t="s">
        <v>1064</v>
      </c>
      <c r="C1048">
        <v>1</v>
      </c>
      <c r="D1048" s="1">
        <v>46072</v>
      </c>
      <c r="E1048">
        <v>731.47</v>
      </c>
      <c r="F1048">
        <v>0</v>
      </c>
    </row>
    <row r="1049" spans="1:6">
      <c r="A1049">
        <v>1048</v>
      </c>
      <c r="B1049" t="s">
        <v>800</v>
      </c>
      <c r="C1049">
        <v>1</v>
      </c>
      <c r="D1049" s="1">
        <v>46073</v>
      </c>
      <c r="E1049">
        <v>24.1</v>
      </c>
      <c r="F1049">
        <v>0</v>
      </c>
    </row>
    <row r="1050" spans="1:6">
      <c r="A1050">
        <v>1049</v>
      </c>
      <c r="B1050" t="s">
        <v>823</v>
      </c>
      <c r="C1050">
        <v>5</v>
      </c>
      <c r="D1050" s="1">
        <v>46073</v>
      </c>
      <c r="E1050">
        <v>27.1</v>
      </c>
      <c r="F1050">
        <v>0</v>
      </c>
    </row>
  </sheetData>
  <sortState xmlns:xlrd2="http://schemas.microsoft.com/office/spreadsheetml/2017/richdata2" ref="A2:F1048">
    <sortCondition ref="D1"/>
  </sortState>
  <customSheetViews>
    <customSheetView guid="{2D7AA37D-8C06-47FC-8F44-3FA6E78D04F2}" state="hidden" topLeftCell="A37">
      <selection activeCell="H45" sqref="H45"/>
      <pageMargins left="0.7" right="0.7" top="0.75" bottom="0.75" header="0.3" footer="0.3"/>
      <pageSetup orientation="portrait" r:id="rId1"/>
    </customSheetView>
    <customSheetView guid="{9C8ADCBA-1E8C-4961-B877-3E192DBDFA7A}" showPageBreaks="1" topLeftCell="A103">
      <selection activeCell="B291" sqref="B291"/>
      <pageMargins left="0.7" right="0.7" top="0.75" bottom="0.75" header="0.3" footer="0.3"/>
      <pageSetup orientation="portrait" r:id="rId2"/>
    </customSheetView>
  </customSheetViews>
  <phoneticPr fontId="1" type="noConversion"/>
  <pageMargins left="0.7" right="0.7" top="0.75" bottom="0.75" header="0.3" footer="0.3"/>
  <pageSetup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M122"/>
  <sheetViews>
    <sheetView workbookViewId="0">
      <selection activeCell="A62" sqref="A62:XFD62"/>
    </sheetView>
  </sheetViews>
  <sheetFormatPr defaultRowHeight="14.25"/>
  <cols>
    <col min="2" max="2" width="19.73046875" customWidth="1"/>
    <col min="3" max="3" width="13.1328125" style="4" customWidth="1"/>
    <col min="4" max="4" width="13.1328125" customWidth="1"/>
    <col min="5" max="5" width="46.59765625" customWidth="1"/>
    <col min="6" max="6" width="19.73046875" bestFit="1" customWidth="1"/>
    <col min="7" max="8" width="13.1328125" customWidth="1"/>
    <col min="9" max="9" width="14" customWidth="1"/>
    <col min="10" max="10" width="16.86328125" customWidth="1"/>
    <col min="11" max="11" width="11.73046875" customWidth="1"/>
  </cols>
  <sheetData>
    <row r="1" spans="1:13">
      <c r="A1" t="s">
        <v>9</v>
      </c>
      <c r="B1" t="s">
        <v>4</v>
      </c>
      <c r="C1" s="4" t="s">
        <v>309</v>
      </c>
      <c r="D1" t="s">
        <v>22</v>
      </c>
      <c r="E1" t="s">
        <v>25</v>
      </c>
      <c r="F1" s="4" t="s">
        <v>319</v>
      </c>
      <c r="G1" t="s">
        <v>23</v>
      </c>
      <c r="H1" t="s">
        <v>175</v>
      </c>
      <c r="I1" t="s">
        <v>24</v>
      </c>
      <c r="J1" t="s">
        <v>10</v>
      </c>
      <c r="K1" t="s">
        <v>324</v>
      </c>
      <c r="L1" t="s">
        <v>725</v>
      </c>
      <c r="M1" t="s">
        <v>782</v>
      </c>
    </row>
    <row r="2" spans="1:13">
      <c r="A2">
        <f>ROW()-1</f>
        <v>1</v>
      </c>
      <c r="B2" s="2" t="s">
        <v>148</v>
      </c>
      <c r="C2" s="3" t="s">
        <v>351</v>
      </c>
      <c r="D2" s="2" t="s">
        <v>121</v>
      </c>
      <c r="E2" s="2" t="s">
        <v>62</v>
      </c>
      <c r="F2" s="3" t="s">
        <v>256</v>
      </c>
      <c r="G2" s="2" t="s">
        <v>112</v>
      </c>
      <c r="H2" t="s">
        <v>186</v>
      </c>
      <c r="I2">
        <v>74.06</v>
      </c>
      <c r="J2" s="1">
        <v>45196</v>
      </c>
      <c r="K2" t="s">
        <v>325</v>
      </c>
      <c r="L2" t="s">
        <v>325</v>
      </c>
    </row>
    <row r="3" spans="1:13" ht="28.5">
      <c r="A3">
        <f>ROW()-1</f>
        <v>2</v>
      </c>
      <c r="B3" s="2" t="s">
        <v>154</v>
      </c>
      <c r="C3" s="3" t="s">
        <v>391</v>
      </c>
      <c r="D3" s="2" t="s">
        <v>123</v>
      </c>
      <c r="E3" s="2" t="s">
        <v>89</v>
      </c>
      <c r="F3" s="3" t="s">
        <v>281</v>
      </c>
      <c r="G3" s="2" t="s">
        <v>112</v>
      </c>
      <c r="H3" t="s">
        <v>186</v>
      </c>
      <c r="I3">
        <v>153</v>
      </c>
      <c r="J3" s="1">
        <v>45196</v>
      </c>
      <c r="K3" t="s">
        <v>325</v>
      </c>
      <c r="L3" t="s">
        <v>325</v>
      </c>
    </row>
    <row r="4" spans="1:13">
      <c r="A4">
        <f>ROW()-1</f>
        <v>3</v>
      </c>
      <c r="B4" s="2" t="s">
        <v>156</v>
      </c>
      <c r="C4" s="3" t="s">
        <v>404</v>
      </c>
      <c r="D4" s="2" t="s">
        <v>123</v>
      </c>
      <c r="E4" s="2" t="s">
        <v>100</v>
      </c>
      <c r="F4" s="3" t="s">
        <v>294</v>
      </c>
      <c r="G4" s="2" t="s">
        <v>112</v>
      </c>
      <c r="H4" t="s">
        <v>186</v>
      </c>
      <c r="I4">
        <v>80.5</v>
      </c>
      <c r="J4" s="1">
        <v>45196</v>
      </c>
      <c r="K4" t="s">
        <v>325</v>
      </c>
      <c r="L4" t="s">
        <v>325</v>
      </c>
    </row>
    <row r="5" spans="1:13">
      <c r="A5">
        <f>ROW()-1</f>
        <v>4</v>
      </c>
      <c r="B5" s="5" t="s">
        <v>424</v>
      </c>
      <c r="C5" s="9" t="s">
        <v>528</v>
      </c>
      <c r="D5" s="5" t="s">
        <v>124</v>
      </c>
      <c r="E5" s="5" t="s">
        <v>423</v>
      </c>
      <c r="F5" s="9" t="s">
        <v>515</v>
      </c>
      <c r="G5" s="5" t="s">
        <v>114</v>
      </c>
      <c r="H5" s="7" t="s">
        <v>186</v>
      </c>
      <c r="I5" s="5">
        <v>560.78</v>
      </c>
      <c r="J5" s="8">
        <v>45273</v>
      </c>
      <c r="K5" t="s">
        <v>325</v>
      </c>
      <c r="L5" t="s">
        <v>325</v>
      </c>
    </row>
    <row r="6" spans="1:13">
      <c r="A6">
        <f>ROW()-1</f>
        <v>5</v>
      </c>
      <c r="B6" s="2" t="s">
        <v>878</v>
      </c>
      <c r="C6" s="3" t="s">
        <v>415</v>
      </c>
      <c r="D6" s="2" t="s">
        <v>124</v>
      </c>
      <c r="E6" s="2" t="s">
        <v>46</v>
      </c>
      <c r="F6" s="3" t="s">
        <v>517</v>
      </c>
      <c r="G6" s="2" t="s">
        <v>114</v>
      </c>
      <c r="H6" t="s">
        <v>186</v>
      </c>
      <c r="I6">
        <v>699.54</v>
      </c>
      <c r="J6" s="1">
        <v>45196</v>
      </c>
      <c r="K6" t="s">
        <v>325</v>
      </c>
      <c r="L6" t="s">
        <v>325</v>
      </c>
    </row>
    <row r="7" spans="1:13">
      <c r="A7">
        <f>ROW()-1</f>
        <v>6</v>
      </c>
      <c r="B7" s="2" t="s">
        <v>819</v>
      </c>
      <c r="C7" s="3" t="s">
        <v>344</v>
      </c>
      <c r="D7" s="2" t="s">
        <v>132</v>
      </c>
      <c r="E7" s="2" t="s">
        <v>75</v>
      </c>
      <c r="F7" s="3" t="s">
        <v>266</v>
      </c>
      <c r="G7" s="2" t="s">
        <v>112</v>
      </c>
      <c r="H7" t="s">
        <v>182</v>
      </c>
      <c r="I7">
        <v>120</v>
      </c>
      <c r="J7" s="1">
        <v>45196</v>
      </c>
      <c r="K7" t="s">
        <v>325</v>
      </c>
      <c r="L7" t="s">
        <v>325</v>
      </c>
    </row>
    <row r="8" spans="1:13">
      <c r="A8">
        <f>ROW()-1</f>
        <v>7</v>
      </c>
      <c r="B8" s="2" t="s">
        <v>795</v>
      </c>
      <c r="C8" s="3" t="s">
        <v>346</v>
      </c>
      <c r="D8" s="2" t="s">
        <v>124</v>
      </c>
      <c r="E8" s="2" t="s">
        <v>162</v>
      </c>
      <c r="F8" s="3" t="s">
        <v>518</v>
      </c>
      <c r="G8" s="2" t="s">
        <v>112</v>
      </c>
      <c r="H8" t="s">
        <v>182</v>
      </c>
      <c r="I8">
        <v>776.9</v>
      </c>
      <c r="J8" s="1">
        <v>45196</v>
      </c>
      <c r="K8" t="s">
        <v>325</v>
      </c>
      <c r="L8" t="s">
        <v>325</v>
      </c>
    </row>
    <row r="9" spans="1:13">
      <c r="A9">
        <f>ROW()-1</f>
        <v>8</v>
      </c>
      <c r="B9" t="s">
        <v>791</v>
      </c>
      <c r="C9" s="3" t="s">
        <v>350</v>
      </c>
      <c r="D9" s="2" t="s">
        <v>127</v>
      </c>
      <c r="E9" s="2" t="s">
        <v>40</v>
      </c>
      <c r="F9" s="3" t="s">
        <v>238</v>
      </c>
      <c r="G9" s="2" t="s">
        <v>112</v>
      </c>
      <c r="H9" t="s">
        <v>182</v>
      </c>
      <c r="I9">
        <v>413.32</v>
      </c>
      <c r="J9" s="1">
        <v>45196</v>
      </c>
      <c r="K9" t="s">
        <v>325</v>
      </c>
      <c r="L9" t="s">
        <v>325</v>
      </c>
    </row>
    <row r="10" spans="1:13">
      <c r="A10">
        <f>ROW()-1</f>
        <v>9</v>
      </c>
      <c r="B10" s="2" t="s">
        <v>427</v>
      </c>
      <c r="C10" s="3" t="s">
        <v>525</v>
      </c>
      <c r="D10" s="2" t="s">
        <v>135</v>
      </c>
      <c r="E10" s="2" t="s">
        <v>428</v>
      </c>
      <c r="F10" s="3" t="s">
        <v>429</v>
      </c>
      <c r="G10" s="2" t="s">
        <v>112</v>
      </c>
      <c r="H10" s="2" t="s">
        <v>182</v>
      </c>
      <c r="I10">
        <v>130</v>
      </c>
      <c r="J10" s="8">
        <v>45274</v>
      </c>
      <c r="K10" s="2" t="s">
        <v>325</v>
      </c>
      <c r="L10" s="2" t="s">
        <v>325</v>
      </c>
    </row>
    <row r="11" spans="1:13">
      <c r="A11">
        <f>ROW()-1</f>
        <v>10</v>
      </c>
      <c r="B11" s="2" t="s">
        <v>813</v>
      </c>
      <c r="C11" s="3" t="s">
        <v>526</v>
      </c>
      <c r="D11" s="2" t="s">
        <v>223</v>
      </c>
      <c r="E11" s="2" t="s">
        <v>426</v>
      </c>
      <c r="F11" s="4" t="s">
        <v>727</v>
      </c>
      <c r="G11" s="2" t="s">
        <v>112</v>
      </c>
      <c r="H11" s="2" t="s">
        <v>182</v>
      </c>
      <c r="I11" s="6">
        <v>264.43</v>
      </c>
      <c r="J11" s="8">
        <v>45274</v>
      </c>
      <c r="K11" s="2" t="s">
        <v>326</v>
      </c>
      <c r="L11" t="s">
        <v>326</v>
      </c>
    </row>
    <row r="12" spans="1:13">
      <c r="A12">
        <f>ROW()-1</f>
        <v>11</v>
      </c>
      <c r="B12" s="2" t="s">
        <v>817</v>
      </c>
      <c r="C12" s="3" t="s">
        <v>414</v>
      </c>
      <c r="D12" s="2" t="s">
        <v>223</v>
      </c>
      <c r="E12" s="2" t="s">
        <v>103</v>
      </c>
      <c r="F12" s="3" t="s">
        <v>511</v>
      </c>
      <c r="G12" s="2" t="s">
        <v>112</v>
      </c>
      <c r="H12" t="s">
        <v>182</v>
      </c>
      <c r="I12">
        <v>287</v>
      </c>
      <c r="J12" s="1">
        <v>45196</v>
      </c>
      <c r="K12" t="s">
        <v>326</v>
      </c>
      <c r="L12" t="s">
        <v>326</v>
      </c>
    </row>
    <row r="13" spans="1:13">
      <c r="A13">
        <v>111</v>
      </c>
      <c r="B13" s="2" t="s">
        <v>854</v>
      </c>
      <c r="D13" s="2" t="s">
        <v>855</v>
      </c>
      <c r="E13" s="2" t="s">
        <v>856</v>
      </c>
      <c r="G13" s="2" t="s">
        <v>112</v>
      </c>
      <c r="H13" s="2" t="s">
        <v>182</v>
      </c>
      <c r="J13" s="1">
        <v>45413</v>
      </c>
      <c r="K13" t="s">
        <v>325</v>
      </c>
      <c r="L13" s="2" t="s">
        <v>325</v>
      </c>
    </row>
    <row r="14" spans="1:13">
      <c r="A14">
        <f>ROW()-1</f>
        <v>13</v>
      </c>
      <c r="B14" t="s">
        <v>866</v>
      </c>
      <c r="C14" s="4" t="s">
        <v>867</v>
      </c>
      <c r="D14" t="s">
        <v>121</v>
      </c>
      <c r="E14" t="s">
        <v>868</v>
      </c>
      <c r="F14" t="s">
        <v>869</v>
      </c>
      <c r="G14" t="s">
        <v>112</v>
      </c>
      <c r="H14" t="s">
        <v>182</v>
      </c>
      <c r="I14">
        <v>497.92</v>
      </c>
      <c r="J14" s="1">
        <v>45443</v>
      </c>
      <c r="K14" t="s">
        <v>325</v>
      </c>
      <c r="L14" t="s">
        <v>325</v>
      </c>
    </row>
    <row r="15" spans="1:13">
      <c r="A15">
        <f>ROW()-1</f>
        <v>14</v>
      </c>
      <c r="B15" t="s">
        <v>984</v>
      </c>
      <c r="C15" s="4" t="s">
        <v>985</v>
      </c>
      <c r="D15" t="s">
        <v>127</v>
      </c>
      <c r="E15" t="s">
        <v>986</v>
      </c>
      <c r="F15" t="s">
        <v>987</v>
      </c>
      <c r="G15" t="s">
        <v>112</v>
      </c>
      <c r="H15" t="s">
        <v>182</v>
      </c>
      <c r="I15">
        <v>204.29</v>
      </c>
      <c r="J15" s="1">
        <v>45645</v>
      </c>
      <c r="K15" t="s">
        <v>325</v>
      </c>
      <c r="L15" s="2" t="s">
        <v>325</v>
      </c>
    </row>
    <row r="16" spans="1:13">
      <c r="A16">
        <f>ROW()-1</f>
        <v>15</v>
      </c>
      <c r="B16" t="s">
        <v>1003</v>
      </c>
      <c r="C16" s="4" t="s">
        <v>1004</v>
      </c>
      <c r="D16" t="s">
        <v>121</v>
      </c>
      <c r="E16" t="s">
        <v>1005</v>
      </c>
      <c r="F16" t="s">
        <v>1006</v>
      </c>
      <c r="G16" t="s">
        <v>112</v>
      </c>
      <c r="H16" t="s">
        <v>182</v>
      </c>
      <c r="I16">
        <v>86.61</v>
      </c>
      <c r="J16" s="1">
        <v>45714</v>
      </c>
      <c r="K16" t="s">
        <v>325</v>
      </c>
      <c r="L16" s="2" t="s">
        <v>325</v>
      </c>
    </row>
    <row r="17" spans="1:12">
      <c r="A17">
        <f>ROW()-1</f>
        <v>16</v>
      </c>
      <c r="B17" s="2" t="s">
        <v>820</v>
      </c>
      <c r="C17" s="3" t="s">
        <v>342</v>
      </c>
      <c r="D17" s="2" t="s">
        <v>132</v>
      </c>
      <c r="E17" s="2" t="s">
        <v>54</v>
      </c>
      <c r="F17" s="3" t="s">
        <v>249</v>
      </c>
      <c r="G17" s="2" t="s">
        <v>112</v>
      </c>
      <c r="H17" t="s">
        <v>184</v>
      </c>
      <c r="I17">
        <v>73.5</v>
      </c>
      <c r="J17" s="1">
        <v>45196</v>
      </c>
      <c r="K17" t="s">
        <v>325</v>
      </c>
      <c r="L17" t="s">
        <v>325</v>
      </c>
    </row>
    <row r="18" spans="1:12">
      <c r="A18">
        <f>ROW()-1</f>
        <v>17</v>
      </c>
      <c r="B18" s="2" t="s">
        <v>203</v>
      </c>
      <c r="C18" s="3" t="s">
        <v>377</v>
      </c>
      <c r="D18" s="2" t="s">
        <v>124</v>
      </c>
      <c r="E18" s="2" t="s">
        <v>70</v>
      </c>
      <c r="F18" s="3" t="s">
        <v>507</v>
      </c>
      <c r="G18" s="2" t="s">
        <v>112</v>
      </c>
      <c r="H18" t="s">
        <v>184</v>
      </c>
      <c r="I18">
        <v>102.24</v>
      </c>
      <c r="J18" s="1">
        <v>45196</v>
      </c>
      <c r="K18" t="s">
        <v>325</v>
      </c>
      <c r="L18" t="s">
        <v>325</v>
      </c>
    </row>
    <row r="19" spans="1:12">
      <c r="A19">
        <f>ROW()-1</f>
        <v>18</v>
      </c>
      <c r="B19" s="2" t="s">
        <v>213</v>
      </c>
      <c r="C19" s="3" t="s">
        <v>386</v>
      </c>
      <c r="D19" s="2" t="s">
        <v>139</v>
      </c>
      <c r="E19" s="2" t="s">
        <v>91</v>
      </c>
      <c r="F19" s="3" t="s">
        <v>283</v>
      </c>
      <c r="G19" s="2" t="s">
        <v>112</v>
      </c>
      <c r="H19" t="s">
        <v>184</v>
      </c>
      <c r="I19">
        <v>155.69999999999999</v>
      </c>
      <c r="J19" s="1">
        <v>45196</v>
      </c>
      <c r="K19" t="s">
        <v>325</v>
      </c>
      <c r="L19" t="s">
        <v>325</v>
      </c>
    </row>
    <row r="20" spans="1:12">
      <c r="A20">
        <f>ROW()-1</f>
        <v>19</v>
      </c>
      <c r="B20" t="s">
        <v>821</v>
      </c>
      <c r="C20" s="4" t="s">
        <v>744</v>
      </c>
      <c r="D20" t="s">
        <v>133</v>
      </c>
      <c r="E20" t="s">
        <v>743</v>
      </c>
      <c r="F20" t="s">
        <v>745</v>
      </c>
      <c r="G20" t="s">
        <v>112</v>
      </c>
      <c r="H20" t="s">
        <v>184</v>
      </c>
      <c r="I20">
        <v>119</v>
      </c>
      <c r="J20" s="1">
        <v>45300</v>
      </c>
      <c r="K20" t="s">
        <v>325</v>
      </c>
      <c r="L20" s="2" t="s">
        <v>325</v>
      </c>
    </row>
    <row r="21" spans="1:12">
      <c r="A21">
        <f>ROW()-1</f>
        <v>20</v>
      </c>
      <c r="B21" s="2" t="s">
        <v>157</v>
      </c>
      <c r="C21" s="3" t="s">
        <v>395</v>
      </c>
      <c r="D21" s="2" t="s">
        <v>121</v>
      </c>
      <c r="E21" s="2" t="s">
        <v>104</v>
      </c>
      <c r="F21" s="3" t="s">
        <v>297</v>
      </c>
      <c r="G21" s="2" t="s">
        <v>112</v>
      </c>
      <c r="H21" t="s">
        <v>184</v>
      </c>
      <c r="I21">
        <v>92.7</v>
      </c>
      <c r="J21" s="1">
        <v>45196</v>
      </c>
      <c r="K21" t="s">
        <v>325</v>
      </c>
      <c r="L21" t="s">
        <v>325</v>
      </c>
    </row>
    <row r="22" spans="1:12">
      <c r="A22">
        <f>ROW()-1</f>
        <v>21</v>
      </c>
      <c r="B22" s="2" t="s">
        <v>149</v>
      </c>
      <c r="C22" s="3" t="s">
        <v>396</v>
      </c>
      <c r="D22" s="2" t="s">
        <v>127</v>
      </c>
      <c r="E22" s="2" t="s">
        <v>72</v>
      </c>
      <c r="F22" s="3" t="s">
        <v>264</v>
      </c>
      <c r="G22" s="2" t="s">
        <v>112</v>
      </c>
      <c r="H22" t="s">
        <v>184</v>
      </c>
      <c r="I22">
        <v>111.4</v>
      </c>
      <c r="J22" s="1">
        <v>45196</v>
      </c>
      <c r="K22" t="s">
        <v>325</v>
      </c>
      <c r="L22" t="s">
        <v>325</v>
      </c>
    </row>
    <row r="23" spans="1:12">
      <c r="A23">
        <f>ROW()-1</f>
        <v>22</v>
      </c>
      <c r="B23" s="2" t="s">
        <v>155</v>
      </c>
      <c r="C23" s="3" t="s">
        <v>397</v>
      </c>
      <c r="D23" s="2" t="s">
        <v>127</v>
      </c>
      <c r="E23" s="2" t="s">
        <v>97</v>
      </c>
      <c r="F23" s="3" t="s">
        <v>291</v>
      </c>
      <c r="G23" s="2" t="s">
        <v>112</v>
      </c>
      <c r="H23" t="s">
        <v>184</v>
      </c>
      <c r="I23">
        <v>108.27</v>
      </c>
      <c r="J23" s="1">
        <v>45196</v>
      </c>
      <c r="K23" t="s">
        <v>325</v>
      </c>
      <c r="L23" t="s">
        <v>325</v>
      </c>
    </row>
    <row r="24" spans="1:12">
      <c r="A24">
        <f>ROW()-1</f>
        <v>23</v>
      </c>
      <c r="B24" s="2" t="s">
        <v>201</v>
      </c>
      <c r="C24" s="3" t="s">
        <v>360</v>
      </c>
      <c r="D24" s="2" t="s">
        <v>127</v>
      </c>
      <c r="E24" s="2" t="s">
        <v>68</v>
      </c>
      <c r="F24" s="3" t="s">
        <v>261</v>
      </c>
      <c r="G24" s="2" t="s">
        <v>112</v>
      </c>
      <c r="H24" t="s">
        <v>184</v>
      </c>
      <c r="I24">
        <v>906.63</v>
      </c>
      <c r="J24" s="1">
        <v>45196</v>
      </c>
      <c r="K24" t="s">
        <v>326</v>
      </c>
      <c r="L24" t="s">
        <v>326</v>
      </c>
    </row>
    <row r="25" spans="1:12">
      <c r="A25">
        <f>ROW()-1</f>
        <v>24</v>
      </c>
      <c r="B25" s="2" t="s">
        <v>822</v>
      </c>
      <c r="C25" s="3" t="s">
        <v>412</v>
      </c>
      <c r="D25" s="2" t="s">
        <v>130</v>
      </c>
      <c r="E25" s="2" t="s">
        <v>50</v>
      </c>
      <c r="F25" s="3" t="s">
        <v>509</v>
      </c>
      <c r="G25" s="2" t="s">
        <v>109</v>
      </c>
      <c r="H25" t="s">
        <v>184</v>
      </c>
      <c r="I25">
        <v>124.25</v>
      </c>
      <c r="J25" s="1">
        <v>45196</v>
      </c>
      <c r="K25" t="s">
        <v>325</v>
      </c>
      <c r="L25" t="s">
        <v>326</v>
      </c>
    </row>
    <row r="26" spans="1:12" ht="28.5">
      <c r="A26">
        <f>ROW()-1</f>
        <v>25</v>
      </c>
      <c r="B26" s="2" t="s">
        <v>205</v>
      </c>
      <c r="C26" s="3" t="s">
        <v>401</v>
      </c>
      <c r="D26" s="2" t="s">
        <v>121</v>
      </c>
      <c r="E26" s="2" t="s">
        <v>73</v>
      </c>
      <c r="F26" s="3" t="s">
        <v>516</v>
      </c>
      <c r="G26" s="2" t="s">
        <v>112</v>
      </c>
      <c r="H26" t="s">
        <v>184</v>
      </c>
      <c r="I26">
        <v>697.62</v>
      </c>
      <c r="J26" s="1">
        <v>45196</v>
      </c>
      <c r="K26" t="s">
        <v>325</v>
      </c>
      <c r="L26" t="s">
        <v>325</v>
      </c>
    </row>
    <row r="27" spans="1:12" ht="28.5">
      <c r="A27">
        <f>ROW()-1</f>
        <v>26</v>
      </c>
      <c r="B27" s="2" t="s">
        <v>204</v>
      </c>
      <c r="C27" s="3" t="s">
        <v>402</v>
      </c>
      <c r="D27" s="2" t="s">
        <v>121</v>
      </c>
      <c r="E27" s="2" t="s">
        <v>71</v>
      </c>
      <c r="F27" s="3" t="s">
        <v>263</v>
      </c>
      <c r="G27" s="2" t="s">
        <v>112</v>
      </c>
      <c r="H27" t="s">
        <v>184</v>
      </c>
      <c r="I27">
        <v>70.289999999999992</v>
      </c>
      <c r="J27" s="1">
        <v>45196</v>
      </c>
      <c r="K27" t="s">
        <v>325</v>
      </c>
      <c r="L27" t="s">
        <v>325</v>
      </c>
    </row>
    <row r="28" spans="1:12">
      <c r="A28">
        <f>ROW()-1</f>
        <v>27</v>
      </c>
      <c r="B28" t="s">
        <v>759</v>
      </c>
      <c r="C28" s="4" t="s">
        <v>753</v>
      </c>
      <c r="D28" t="s">
        <v>754</v>
      </c>
      <c r="E28" t="s">
        <v>755</v>
      </c>
      <c r="F28" t="s">
        <v>756</v>
      </c>
      <c r="G28" t="s">
        <v>112</v>
      </c>
      <c r="H28" t="s">
        <v>184</v>
      </c>
      <c r="I28">
        <v>76.58</v>
      </c>
      <c r="J28" s="1">
        <v>45317</v>
      </c>
      <c r="K28" t="s">
        <v>325</v>
      </c>
      <c r="L28" t="s">
        <v>325</v>
      </c>
    </row>
    <row r="29" spans="1:12">
      <c r="A29">
        <f>ROW()-1</f>
        <v>28</v>
      </c>
      <c r="B29" t="s">
        <v>483</v>
      </c>
      <c r="C29" s="3" t="s">
        <v>394</v>
      </c>
      <c r="D29" s="2" t="s">
        <v>123</v>
      </c>
      <c r="E29" s="2" t="s">
        <v>34</v>
      </c>
      <c r="F29" s="3" t="s">
        <v>234</v>
      </c>
      <c r="G29" s="2" t="s">
        <v>112</v>
      </c>
      <c r="H29" t="s">
        <v>181</v>
      </c>
      <c r="I29">
        <v>385</v>
      </c>
      <c r="J29" s="1">
        <v>45196</v>
      </c>
      <c r="K29" t="s">
        <v>325</v>
      </c>
      <c r="L29" t="s">
        <v>325</v>
      </c>
    </row>
    <row r="30" spans="1:12">
      <c r="A30">
        <f>ROW()-1</f>
        <v>29</v>
      </c>
      <c r="B30" t="s">
        <v>172</v>
      </c>
      <c r="C30" s="3" t="s">
        <v>410</v>
      </c>
      <c r="D30" s="2" t="s">
        <v>123</v>
      </c>
      <c r="E30" s="2" t="s">
        <v>33</v>
      </c>
      <c r="F30" s="3" t="s">
        <v>233</v>
      </c>
      <c r="G30" s="2" t="s">
        <v>112</v>
      </c>
      <c r="H30" t="s">
        <v>181</v>
      </c>
      <c r="I30">
        <v>141</v>
      </c>
      <c r="J30" s="1">
        <v>45196</v>
      </c>
      <c r="K30" t="s">
        <v>325</v>
      </c>
      <c r="L30" t="s">
        <v>325</v>
      </c>
    </row>
    <row r="31" spans="1:12" ht="28.5">
      <c r="A31">
        <f>ROW()-1</f>
        <v>30</v>
      </c>
      <c r="B31" s="2" t="s">
        <v>804</v>
      </c>
      <c r="C31" s="3" t="s">
        <v>380</v>
      </c>
      <c r="D31" s="2" t="s">
        <v>125</v>
      </c>
      <c r="E31" s="2" t="s">
        <v>86</v>
      </c>
      <c r="F31" s="3" t="s">
        <v>278</v>
      </c>
      <c r="G31" s="2" t="s">
        <v>116</v>
      </c>
      <c r="H31" t="s">
        <v>178</v>
      </c>
      <c r="I31">
        <v>28.95</v>
      </c>
      <c r="J31" s="1">
        <v>45196</v>
      </c>
      <c r="K31" t="s">
        <v>325</v>
      </c>
      <c r="L31" t="s">
        <v>326</v>
      </c>
    </row>
    <row r="32" spans="1:12">
      <c r="A32">
        <f>ROW()-1</f>
        <v>31</v>
      </c>
      <c r="B32" t="s">
        <v>886</v>
      </c>
      <c r="C32" s="3" t="s">
        <v>381</v>
      </c>
      <c r="D32" s="2" t="s">
        <v>125</v>
      </c>
      <c r="E32" s="2" t="s">
        <v>37</v>
      </c>
      <c r="F32" s="3" t="s">
        <v>236</v>
      </c>
      <c r="G32" s="2" t="s">
        <v>113</v>
      </c>
      <c r="H32" t="s">
        <v>178</v>
      </c>
      <c r="I32">
        <v>35.75</v>
      </c>
      <c r="J32" s="1">
        <v>45196</v>
      </c>
      <c r="K32" t="s">
        <v>325</v>
      </c>
      <c r="L32" t="s">
        <v>326</v>
      </c>
    </row>
    <row r="33" spans="1:13" ht="28.5">
      <c r="A33">
        <f>ROW()-1</f>
        <v>32</v>
      </c>
      <c r="B33" s="2" t="s">
        <v>823</v>
      </c>
      <c r="C33" s="3" t="s">
        <v>382</v>
      </c>
      <c r="D33" s="2" t="s">
        <v>125</v>
      </c>
      <c r="E33" s="2" t="s">
        <v>101</v>
      </c>
      <c r="F33" s="3" t="s">
        <v>295</v>
      </c>
      <c r="G33" s="2" t="s">
        <v>113</v>
      </c>
      <c r="H33" t="s">
        <v>178</v>
      </c>
      <c r="I33">
        <v>27.1</v>
      </c>
      <c r="J33" s="1">
        <v>45196</v>
      </c>
      <c r="K33" t="s">
        <v>325</v>
      </c>
      <c r="L33" t="s">
        <v>326</v>
      </c>
    </row>
    <row r="34" spans="1:13">
      <c r="A34">
        <f>ROW()-1</f>
        <v>33</v>
      </c>
      <c r="B34" t="s">
        <v>800</v>
      </c>
      <c r="C34" s="3" t="s">
        <v>383</v>
      </c>
      <c r="D34" s="2" t="s">
        <v>125</v>
      </c>
      <c r="E34" s="2" t="s">
        <v>36</v>
      </c>
      <c r="F34" s="3" t="s">
        <v>235</v>
      </c>
      <c r="G34" s="2" t="s">
        <v>113</v>
      </c>
      <c r="H34" t="s">
        <v>178</v>
      </c>
      <c r="I34">
        <v>24.1</v>
      </c>
      <c r="J34" s="1">
        <v>45196</v>
      </c>
      <c r="K34" t="s">
        <v>325</v>
      </c>
      <c r="L34" t="s">
        <v>326</v>
      </c>
    </row>
    <row r="35" spans="1:13">
      <c r="A35">
        <f>ROW()-1</f>
        <v>34</v>
      </c>
      <c r="B35" t="s">
        <v>140</v>
      </c>
      <c r="C35" s="3" t="s">
        <v>368</v>
      </c>
      <c r="D35" s="2" t="s">
        <v>121</v>
      </c>
      <c r="E35" s="2" t="s">
        <v>30</v>
      </c>
      <c r="F35" s="3" t="s">
        <v>512</v>
      </c>
      <c r="G35" s="2" t="s">
        <v>112</v>
      </c>
      <c r="H35" t="s">
        <v>178</v>
      </c>
      <c r="I35">
        <v>316.44</v>
      </c>
      <c r="J35" s="1">
        <v>45196</v>
      </c>
      <c r="K35" t="s">
        <v>325</v>
      </c>
      <c r="L35" t="s">
        <v>325</v>
      </c>
    </row>
    <row r="36" spans="1:13">
      <c r="A36">
        <f>ROW()-1</f>
        <v>35</v>
      </c>
      <c r="B36" s="2" t="s">
        <v>197</v>
      </c>
      <c r="C36" s="3" t="s">
        <v>369</v>
      </c>
      <c r="D36" s="2" t="s">
        <v>133</v>
      </c>
      <c r="E36" s="2" t="s">
        <v>59</v>
      </c>
      <c r="F36" s="3" t="s">
        <v>253</v>
      </c>
      <c r="G36" s="2" t="s">
        <v>113</v>
      </c>
      <c r="H36" t="s">
        <v>178</v>
      </c>
      <c r="I36">
        <v>180</v>
      </c>
      <c r="J36" s="1">
        <v>45196</v>
      </c>
      <c r="K36" t="s">
        <v>325</v>
      </c>
      <c r="L36" t="s">
        <v>325</v>
      </c>
    </row>
    <row r="37" spans="1:13">
      <c r="A37">
        <f>ROW()-1</f>
        <v>36</v>
      </c>
      <c r="B37" s="2" t="s">
        <v>792</v>
      </c>
      <c r="C37" s="3" t="s">
        <v>388</v>
      </c>
      <c r="D37" s="2" t="s">
        <v>127</v>
      </c>
      <c r="E37" s="2" t="s">
        <v>81</v>
      </c>
      <c r="F37" s="3" t="s">
        <v>273</v>
      </c>
      <c r="G37" s="2" t="s">
        <v>112</v>
      </c>
      <c r="H37" t="s">
        <v>178</v>
      </c>
      <c r="I37">
        <v>106.41</v>
      </c>
      <c r="J37" s="1">
        <v>45196</v>
      </c>
      <c r="K37" t="s">
        <v>325</v>
      </c>
      <c r="L37" t="s">
        <v>325</v>
      </c>
    </row>
    <row r="38" spans="1:13">
      <c r="A38">
        <f>ROW()-1</f>
        <v>37</v>
      </c>
      <c r="B38" t="s">
        <v>882</v>
      </c>
      <c r="C38" s="4" t="s">
        <v>883</v>
      </c>
      <c r="D38" t="s">
        <v>884</v>
      </c>
      <c r="E38" t="s">
        <v>885</v>
      </c>
      <c r="F38" t="s">
        <v>121</v>
      </c>
      <c r="G38" t="s">
        <v>112</v>
      </c>
      <c r="H38" t="s">
        <v>178</v>
      </c>
      <c r="I38">
        <v>58.92</v>
      </c>
      <c r="J38" s="1">
        <v>45481</v>
      </c>
      <c r="K38" t="s">
        <v>325</v>
      </c>
      <c r="L38" t="s">
        <v>325</v>
      </c>
    </row>
    <row r="39" spans="1:13">
      <c r="A39">
        <f>ROW()-1</f>
        <v>38</v>
      </c>
      <c r="B39" t="s">
        <v>896</v>
      </c>
      <c r="C39" s="4" t="s">
        <v>897</v>
      </c>
      <c r="D39" t="s">
        <v>121</v>
      </c>
      <c r="E39" t="s">
        <v>898</v>
      </c>
      <c r="F39">
        <v>60050009</v>
      </c>
      <c r="G39" t="s">
        <v>112</v>
      </c>
      <c r="H39" t="s">
        <v>178</v>
      </c>
      <c r="I39">
        <v>211.18</v>
      </c>
      <c r="J39" s="1">
        <v>45488</v>
      </c>
      <c r="K39" t="s">
        <v>325</v>
      </c>
      <c r="L39" s="2" t="s">
        <v>325</v>
      </c>
    </row>
    <row r="40" spans="1:13">
      <c r="A40">
        <f>ROW()-1</f>
        <v>39</v>
      </c>
      <c r="B40" s="2" t="s">
        <v>799</v>
      </c>
      <c r="C40" s="3" t="s">
        <v>338</v>
      </c>
      <c r="D40" s="2" t="s">
        <v>126</v>
      </c>
      <c r="E40" s="2" t="s">
        <v>90</v>
      </c>
      <c r="F40" s="3" t="s">
        <v>282</v>
      </c>
      <c r="G40" s="2" t="s">
        <v>109</v>
      </c>
      <c r="H40" t="s">
        <v>177</v>
      </c>
      <c r="I40">
        <v>67.25</v>
      </c>
      <c r="J40" s="1">
        <v>45196</v>
      </c>
      <c r="K40" t="s">
        <v>325</v>
      </c>
      <c r="L40" t="s">
        <v>326</v>
      </c>
    </row>
    <row r="41" spans="1:13" ht="28.5">
      <c r="A41">
        <f>ROW()-1</f>
        <v>40</v>
      </c>
      <c r="B41" t="s">
        <v>803</v>
      </c>
      <c r="C41" s="3" t="s">
        <v>339</v>
      </c>
      <c r="D41" s="2" t="s">
        <v>126</v>
      </c>
      <c r="E41" s="2" t="s">
        <v>38</v>
      </c>
      <c r="F41" s="3" t="s">
        <v>726</v>
      </c>
      <c r="G41" s="2" t="s">
        <v>109</v>
      </c>
      <c r="H41" t="s">
        <v>177</v>
      </c>
      <c r="I41">
        <v>53.95</v>
      </c>
      <c r="J41" s="1">
        <v>45196</v>
      </c>
      <c r="K41" t="s">
        <v>325</v>
      </c>
      <c r="L41" t="s">
        <v>326</v>
      </c>
      <c r="M41" s="3" t="s">
        <v>783</v>
      </c>
    </row>
    <row r="42" spans="1:13">
      <c r="A42">
        <f>ROW()-1</f>
        <v>41</v>
      </c>
      <c r="B42" t="s">
        <v>825</v>
      </c>
      <c r="C42" s="3" t="s">
        <v>349</v>
      </c>
      <c r="D42" s="2" t="s">
        <v>127</v>
      </c>
      <c r="E42" s="2" t="s">
        <v>39</v>
      </c>
      <c r="F42" s="3" t="s">
        <v>237</v>
      </c>
      <c r="G42" s="2" t="s">
        <v>109</v>
      </c>
      <c r="H42" t="s">
        <v>177</v>
      </c>
      <c r="I42">
        <v>122.3</v>
      </c>
      <c r="J42" s="1">
        <v>45196</v>
      </c>
      <c r="K42" t="s">
        <v>325</v>
      </c>
      <c r="L42" t="s">
        <v>326</v>
      </c>
    </row>
    <row r="43" spans="1:13">
      <c r="A43">
        <f>ROW()-1</f>
        <v>42</v>
      </c>
      <c r="B43" s="2" t="s">
        <v>202</v>
      </c>
      <c r="C43" s="3" t="s">
        <v>365</v>
      </c>
      <c r="D43" s="2" t="s">
        <v>129</v>
      </c>
      <c r="E43" s="2" t="s">
        <v>69</v>
      </c>
      <c r="F43" s="3" t="s">
        <v>262</v>
      </c>
      <c r="G43" s="2" t="s">
        <v>112</v>
      </c>
      <c r="H43" t="s">
        <v>177</v>
      </c>
      <c r="I43">
        <v>180</v>
      </c>
      <c r="J43" s="1">
        <v>45196</v>
      </c>
      <c r="K43" t="s">
        <v>326</v>
      </c>
      <c r="L43" t="s">
        <v>326</v>
      </c>
    </row>
    <row r="44" spans="1:13">
      <c r="A44">
        <f>ROW()-1</f>
        <v>43</v>
      </c>
      <c r="B44" s="2" t="s">
        <v>826</v>
      </c>
      <c r="C44" s="3" t="s">
        <v>374</v>
      </c>
      <c r="D44" s="2" t="s">
        <v>129</v>
      </c>
      <c r="E44" s="2" t="s">
        <v>67</v>
      </c>
      <c r="F44" s="3" t="s">
        <v>271</v>
      </c>
      <c r="G44" s="2" t="s">
        <v>113</v>
      </c>
      <c r="H44" t="s">
        <v>177</v>
      </c>
      <c r="I44">
        <v>321</v>
      </c>
      <c r="J44" s="1">
        <v>45196</v>
      </c>
      <c r="K44" t="s">
        <v>326</v>
      </c>
      <c r="L44" t="s">
        <v>326</v>
      </c>
    </row>
    <row r="45" spans="1:13">
      <c r="A45">
        <f>ROW()-1</f>
        <v>44</v>
      </c>
      <c r="B45" s="2" t="s">
        <v>171</v>
      </c>
      <c r="C45" s="3" t="s">
        <v>376</v>
      </c>
      <c r="D45" s="2" t="s">
        <v>134</v>
      </c>
      <c r="E45" s="2" t="s">
        <v>61</v>
      </c>
      <c r="F45" s="3" t="s">
        <v>255</v>
      </c>
      <c r="G45" s="2" t="s">
        <v>112</v>
      </c>
      <c r="H45" t="s">
        <v>177</v>
      </c>
      <c r="I45">
        <v>214.2</v>
      </c>
      <c r="J45" s="1">
        <v>45196</v>
      </c>
      <c r="K45" t="s">
        <v>326</v>
      </c>
      <c r="L45" t="s">
        <v>326</v>
      </c>
    </row>
    <row r="46" spans="1:13">
      <c r="A46">
        <f>ROW()-1</f>
        <v>45</v>
      </c>
      <c r="B46" s="2" t="s">
        <v>191</v>
      </c>
      <c r="C46" s="3" t="s">
        <v>392</v>
      </c>
      <c r="D46" s="2" t="s">
        <v>129</v>
      </c>
      <c r="E46" s="2" t="s">
        <v>48</v>
      </c>
      <c r="F46" s="3" t="s">
        <v>244</v>
      </c>
      <c r="G46" s="2" t="s">
        <v>112</v>
      </c>
      <c r="H46" t="s">
        <v>177</v>
      </c>
      <c r="I46">
        <v>431</v>
      </c>
      <c r="J46" s="1">
        <v>45196</v>
      </c>
      <c r="K46" t="s">
        <v>326</v>
      </c>
      <c r="L46" t="s">
        <v>326</v>
      </c>
    </row>
    <row r="47" spans="1:13" ht="28.5">
      <c r="A47">
        <f>ROW()-1</f>
        <v>46</v>
      </c>
      <c r="B47" s="2" t="s">
        <v>816</v>
      </c>
      <c r="C47" s="3" t="s">
        <v>527</v>
      </c>
      <c r="D47" s="2" t="s">
        <v>431</v>
      </c>
      <c r="E47" s="2" t="s">
        <v>430</v>
      </c>
      <c r="F47" s="3" t="s">
        <v>432</v>
      </c>
      <c r="G47" s="2" t="s">
        <v>112</v>
      </c>
      <c r="H47" s="2" t="s">
        <v>177</v>
      </c>
      <c r="I47" s="6">
        <v>409.5</v>
      </c>
      <c r="J47" s="8">
        <v>45274</v>
      </c>
      <c r="K47" s="2" t="s">
        <v>326</v>
      </c>
      <c r="L47" s="2" t="s">
        <v>326</v>
      </c>
    </row>
    <row r="48" spans="1:13" ht="42.75">
      <c r="A48">
        <f>ROW()-1</f>
        <v>47</v>
      </c>
      <c r="B48" s="2" t="s">
        <v>827</v>
      </c>
      <c r="C48" s="3" t="s">
        <v>418</v>
      </c>
      <c r="D48" s="2" t="s">
        <v>126</v>
      </c>
      <c r="E48" s="2" t="s">
        <v>49</v>
      </c>
      <c r="F48" s="3" t="s">
        <v>245</v>
      </c>
      <c r="G48" s="2" t="s">
        <v>113</v>
      </c>
      <c r="H48" t="s">
        <v>177</v>
      </c>
      <c r="I48">
        <v>31</v>
      </c>
      <c r="J48" s="1">
        <v>45196</v>
      </c>
      <c r="K48" t="s">
        <v>325</v>
      </c>
      <c r="L48" t="s">
        <v>326</v>
      </c>
    </row>
    <row r="49" spans="1:13" ht="28.5">
      <c r="A49">
        <f>ROW()-1</f>
        <v>48</v>
      </c>
      <c r="B49" s="2" t="s">
        <v>828</v>
      </c>
      <c r="C49" s="3" t="s">
        <v>419</v>
      </c>
      <c r="D49" s="2" t="s">
        <v>126</v>
      </c>
      <c r="E49" s="2" t="s">
        <v>98</v>
      </c>
      <c r="F49" s="3" t="s">
        <v>292</v>
      </c>
      <c r="G49" s="2" t="s">
        <v>113</v>
      </c>
      <c r="H49" t="s">
        <v>177</v>
      </c>
      <c r="I49">
        <v>31</v>
      </c>
      <c r="J49" s="1">
        <v>45196</v>
      </c>
      <c r="K49" t="s">
        <v>325</v>
      </c>
      <c r="L49" t="s">
        <v>326</v>
      </c>
    </row>
    <row r="50" spans="1:13">
      <c r="A50">
        <f>ROW()-1</f>
        <v>49</v>
      </c>
      <c r="B50" t="s">
        <v>314</v>
      </c>
      <c r="C50" s="3" t="s">
        <v>343</v>
      </c>
      <c r="D50" s="2" t="s">
        <v>120</v>
      </c>
      <c r="E50" s="2" t="s">
        <v>29</v>
      </c>
      <c r="F50" s="3" t="s">
        <v>230</v>
      </c>
      <c r="G50" s="2" t="s">
        <v>112</v>
      </c>
      <c r="H50" t="s">
        <v>177</v>
      </c>
      <c r="I50">
        <v>268.95999999999998</v>
      </c>
      <c r="J50" s="1">
        <v>45196</v>
      </c>
      <c r="K50" t="s">
        <v>325</v>
      </c>
      <c r="L50" t="s">
        <v>326</v>
      </c>
    </row>
    <row r="51" spans="1:13">
      <c r="A51">
        <f>ROW()-1</f>
        <v>50</v>
      </c>
      <c r="B51" s="2" t="s">
        <v>53</v>
      </c>
      <c r="C51" s="3" t="s">
        <v>345</v>
      </c>
      <c r="D51" s="2" t="s">
        <v>132</v>
      </c>
      <c r="E51" s="2" t="s">
        <v>53</v>
      </c>
      <c r="F51" s="3" t="s">
        <v>248</v>
      </c>
      <c r="G51" s="2" t="s">
        <v>112</v>
      </c>
      <c r="H51" t="s">
        <v>177</v>
      </c>
      <c r="I51">
        <v>24.75</v>
      </c>
      <c r="J51" s="1">
        <v>45196</v>
      </c>
      <c r="K51" t="s">
        <v>325</v>
      </c>
      <c r="L51" t="s">
        <v>325</v>
      </c>
    </row>
    <row r="52" spans="1:13">
      <c r="A52">
        <f>ROW()-1</f>
        <v>51</v>
      </c>
      <c r="B52" s="2" t="s">
        <v>194</v>
      </c>
      <c r="C52" s="3" t="s">
        <v>352</v>
      </c>
      <c r="D52" s="2" t="s">
        <v>132</v>
      </c>
      <c r="E52" s="2" t="s">
        <v>55</v>
      </c>
      <c r="F52" s="3" t="s">
        <v>250</v>
      </c>
      <c r="G52" s="2" t="s">
        <v>112</v>
      </c>
      <c r="H52" t="s">
        <v>177</v>
      </c>
      <c r="I52">
        <v>733.5</v>
      </c>
      <c r="J52" s="1">
        <v>45196</v>
      </c>
      <c r="K52" t="s">
        <v>325</v>
      </c>
      <c r="L52" t="s">
        <v>325</v>
      </c>
    </row>
    <row r="53" spans="1:13">
      <c r="A53">
        <f>ROW()-1</f>
        <v>52</v>
      </c>
      <c r="B53" s="2" t="s">
        <v>829</v>
      </c>
      <c r="C53" s="3" t="s">
        <v>357</v>
      </c>
      <c r="D53" s="2" t="s">
        <v>132</v>
      </c>
      <c r="E53" s="2" t="s">
        <v>96</v>
      </c>
      <c r="F53" s="3" t="s">
        <v>290</v>
      </c>
      <c r="G53" s="2" t="s">
        <v>112</v>
      </c>
      <c r="H53" t="s">
        <v>177</v>
      </c>
      <c r="I53">
        <v>304.5</v>
      </c>
      <c r="J53" s="1">
        <v>45196</v>
      </c>
      <c r="K53" t="s">
        <v>325</v>
      </c>
      <c r="L53" t="s">
        <v>325</v>
      </c>
    </row>
    <row r="54" spans="1:13">
      <c r="A54">
        <f>ROW()-1</f>
        <v>53</v>
      </c>
      <c r="B54" s="2" t="s">
        <v>830</v>
      </c>
      <c r="C54" s="3" t="s">
        <v>371</v>
      </c>
      <c r="D54" s="2" t="s">
        <v>132</v>
      </c>
      <c r="E54" s="2" t="s">
        <v>80</v>
      </c>
      <c r="F54" s="3" t="s">
        <v>272</v>
      </c>
      <c r="G54" s="2" t="s">
        <v>112</v>
      </c>
      <c r="H54" t="s">
        <v>177</v>
      </c>
      <c r="I54">
        <v>354</v>
      </c>
      <c r="J54" s="1">
        <v>45196</v>
      </c>
      <c r="K54" t="s">
        <v>325</v>
      </c>
      <c r="L54" t="s">
        <v>325</v>
      </c>
    </row>
    <row r="55" spans="1:13">
      <c r="A55">
        <f>ROW()-1</f>
        <v>54</v>
      </c>
      <c r="B55" s="2" t="s">
        <v>831</v>
      </c>
      <c r="C55" s="3" t="s">
        <v>372</v>
      </c>
      <c r="D55" s="2" t="s">
        <v>132</v>
      </c>
      <c r="E55" s="2" t="s">
        <v>74</v>
      </c>
      <c r="F55" s="3" t="s">
        <v>265</v>
      </c>
      <c r="G55" s="2" t="s">
        <v>112</v>
      </c>
      <c r="H55" t="s">
        <v>177</v>
      </c>
      <c r="I55">
        <v>400</v>
      </c>
      <c r="J55" s="1">
        <v>45196</v>
      </c>
      <c r="K55" t="s">
        <v>325</v>
      </c>
      <c r="L55" t="s">
        <v>325</v>
      </c>
      <c r="M55" s="2"/>
    </row>
    <row r="56" spans="1:13">
      <c r="A56">
        <f>ROW()-1</f>
        <v>55</v>
      </c>
      <c r="B56" s="2" t="s">
        <v>832</v>
      </c>
      <c r="C56" s="3" t="s">
        <v>373</v>
      </c>
      <c r="D56" s="2" t="s">
        <v>132</v>
      </c>
      <c r="E56" s="2" t="s">
        <v>102</v>
      </c>
      <c r="F56" s="3" t="s">
        <v>296</v>
      </c>
      <c r="G56" s="2" t="s">
        <v>112</v>
      </c>
      <c r="H56" t="s">
        <v>177</v>
      </c>
      <c r="I56">
        <v>952</v>
      </c>
      <c r="J56" s="1">
        <v>45196</v>
      </c>
      <c r="K56" t="s">
        <v>325</v>
      </c>
      <c r="L56" t="s">
        <v>325</v>
      </c>
    </row>
    <row r="57" spans="1:13">
      <c r="A57">
        <f>ROW()-1</f>
        <v>56</v>
      </c>
      <c r="B57" s="2" t="s">
        <v>190</v>
      </c>
      <c r="C57" s="3" t="s">
        <v>378</v>
      </c>
      <c r="D57" s="2" t="s">
        <v>124</v>
      </c>
      <c r="E57" s="2" t="s">
        <v>47</v>
      </c>
      <c r="F57" s="3" t="s">
        <v>508</v>
      </c>
      <c r="G57" s="2" t="s">
        <v>112</v>
      </c>
      <c r="H57" t="s">
        <v>177</v>
      </c>
      <c r="I57">
        <v>104.64</v>
      </c>
      <c r="J57" s="1">
        <v>45196</v>
      </c>
      <c r="K57" t="s">
        <v>325</v>
      </c>
      <c r="L57" t="s">
        <v>325</v>
      </c>
    </row>
    <row r="58" spans="1:13">
      <c r="A58">
        <f>ROW()-1</f>
        <v>57</v>
      </c>
      <c r="B58" s="2" t="s">
        <v>199</v>
      </c>
      <c r="C58" s="3" t="s">
        <v>379</v>
      </c>
      <c r="D58" s="2" t="s">
        <v>124</v>
      </c>
      <c r="E58" s="2" t="s">
        <v>64</v>
      </c>
      <c r="F58" s="3" t="s">
        <v>519</v>
      </c>
      <c r="G58" s="2" t="s">
        <v>114</v>
      </c>
      <c r="H58" t="s">
        <v>177</v>
      </c>
      <c r="I58">
        <v>793.62</v>
      </c>
      <c r="J58" s="1">
        <v>45196</v>
      </c>
      <c r="K58" t="s">
        <v>325</v>
      </c>
      <c r="L58" t="s">
        <v>325</v>
      </c>
    </row>
    <row r="59" spans="1:13">
      <c r="A59">
        <f>ROW()-1</f>
        <v>58</v>
      </c>
      <c r="B59" t="s">
        <v>174</v>
      </c>
      <c r="C59" s="3" t="s">
        <v>389</v>
      </c>
      <c r="D59" s="2" t="s">
        <v>124</v>
      </c>
      <c r="E59" s="2" t="s">
        <v>35</v>
      </c>
      <c r="F59" s="3" t="s">
        <v>514</v>
      </c>
      <c r="G59" s="2" t="s">
        <v>114</v>
      </c>
      <c r="H59" t="s">
        <v>177</v>
      </c>
      <c r="I59">
        <v>547.4</v>
      </c>
      <c r="J59" s="1">
        <v>45196</v>
      </c>
      <c r="K59" t="s">
        <v>325</v>
      </c>
      <c r="L59" t="s">
        <v>325</v>
      </c>
    </row>
    <row r="60" spans="1:13" ht="28.5">
      <c r="A60">
        <f>ROW()-1</f>
        <v>59</v>
      </c>
      <c r="B60" s="2" t="s">
        <v>811</v>
      </c>
      <c r="C60" s="3" t="s">
        <v>524</v>
      </c>
      <c r="D60" s="2" t="s">
        <v>127</v>
      </c>
      <c r="E60" s="2" t="s">
        <v>433</v>
      </c>
      <c r="F60" s="3" t="s">
        <v>434</v>
      </c>
      <c r="G60" s="2" t="s">
        <v>112</v>
      </c>
      <c r="H60" s="2" t="s">
        <v>177</v>
      </c>
      <c r="I60" s="6">
        <v>38.11</v>
      </c>
      <c r="J60" s="8">
        <v>45274</v>
      </c>
      <c r="K60" s="2" t="s">
        <v>325</v>
      </c>
      <c r="L60" s="2" t="s">
        <v>325</v>
      </c>
    </row>
    <row r="61" spans="1:13">
      <c r="A61">
        <f>ROW()-1</f>
        <v>60</v>
      </c>
      <c r="B61" t="s">
        <v>944</v>
      </c>
      <c r="C61" s="4" t="s">
        <v>941</v>
      </c>
      <c r="D61" t="s">
        <v>132</v>
      </c>
      <c r="E61" t="s">
        <v>942</v>
      </c>
      <c r="F61" t="s">
        <v>940</v>
      </c>
      <c r="G61" t="s">
        <v>112</v>
      </c>
      <c r="H61" t="s">
        <v>177</v>
      </c>
      <c r="I61">
        <v>552</v>
      </c>
      <c r="J61" s="1">
        <v>45527</v>
      </c>
      <c r="K61" t="s">
        <v>325</v>
      </c>
      <c r="L61" s="2" t="s">
        <v>325</v>
      </c>
    </row>
    <row r="62" spans="1:13" s="27" customFormat="1">
      <c r="A62" s="27">
        <f>ROW()-1</f>
        <v>61</v>
      </c>
      <c r="B62" s="27" t="s">
        <v>1064</v>
      </c>
      <c r="C62" s="28" t="s">
        <v>1070</v>
      </c>
      <c r="D62" s="27" t="s">
        <v>132</v>
      </c>
      <c r="E62" s="27" t="s">
        <v>1071</v>
      </c>
      <c r="F62" s="27" t="s">
        <v>1072</v>
      </c>
      <c r="G62" s="27" t="s">
        <v>1065</v>
      </c>
      <c r="H62" s="27" t="s">
        <v>177</v>
      </c>
      <c r="I62" s="27">
        <v>547.5</v>
      </c>
      <c r="J62" s="29">
        <v>45922</v>
      </c>
      <c r="K62" s="27" t="s">
        <v>325</v>
      </c>
      <c r="L62" s="30" t="s">
        <v>325</v>
      </c>
    </row>
    <row r="63" spans="1:13">
      <c r="A63">
        <f>ROW()-1</f>
        <v>62</v>
      </c>
      <c r="B63" s="2" t="s">
        <v>146</v>
      </c>
      <c r="C63" s="3" t="s">
        <v>347</v>
      </c>
      <c r="D63" s="2" t="s">
        <v>121</v>
      </c>
      <c r="E63" s="2" t="s">
        <v>105</v>
      </c>
      <c r="F63" s="3" t="s">
        <v>298</v>
      </c>
      <c r="G63" s="2" t="s">
        <v>112</v>
      </c>
      <c r="H63" t="s">
        <v>176</v>
      </c>
      <c r="I63">
        <v>16.71</v>
      </c>
      <c r="J63" s="1">
        <v>45196</v>
      </c>
      <c r="K63" t="s">
        <v>326</v>
      </c>
      <c r="L63" s="2" t="s">
        <v>326</v>
      </c>
    </row>
    <row r="64" spans="1:13">
      <c r="A64">
        <f>ROW()-1</f>
        <v>63</v>
      </c>
      <c r="B64" t="s">
        <v>169</v>
      </c>
      <c r="C64" s="3" t="s">
        <v>348</v>
      </c>
      <c r="D64" s="2" t="s">
        <v>119</v>
      </c>
      <c r="E64" s="2" t="s">
        <v>159</v>
      </c>
      <c r="F64" s="3" t="s">
        <v>228</v>
      </c>
      <c r="G64" s="2" t="s">
        <v>112</v>
      </c>
      <c r="H64" t="s">
        <v>176</v>
      </c>
      <c r="I64">
        <v>21</v>
      </c>
      <c r="J64" s="1">
        <v>45196</v>
      </c>
      <c r="K64" t="s">
        <v>326</v>
      </c>
      <c r="L64" s="2" t="s">
        <v>326</v>
      </c>
    </row>
    <row r="65" spans="1:13" ht="28.5">
      <c r="A65">
        <f>ROW()-1</f>
        <v>64</v>
      </c>
      <c r="B65" s="2" t="s">
        <v>833</v>
      </c>
      <c r="C65" s="3" t="s">
        <v>355</v>
      </c>
      <c r="D65" s="2" t="s">
        <v>121</v>
      </c>
      <c r="E65" s="2" t="s">
        <v>99</v>
      </c>
      <c r="F65" s="3" t="s">
        <v>293</v>
      </c>
      <c r="G65" s="2" t="s">
        <v>112</v>
      </c>
      <c r="H65" t="s">
        <v>176</v>
      </c>
      <c r="I65">
        <v>154.88999999999999</v>
      </c>
      <c r="J65" s="1">
        <v>45196</v>
      </c>
      <c r="K65" t="s">
        <v>325</v>
      </c>
      <c r="L65" s="2" t="s">
        <v>326</v>
      </c>
    </row>
    <row r="66" spans="1:13">
      <c r="A66">
        <f>ROW()-1</f>
        <v>65</v>
      </c>
      <c r="B66" s="2" t="s">
        <v>807</v>
      </c>
      <c r="C66" s="3" t="s">
        <v>358</v>
      </c>
      <c r="D66" s="2" t="s">
        <v>119</v>
      </c>
      <c r="E66" s="2" t="s">
        <v>78</v>
      </c>
      <c r="F66" s="3" t="s">
        <v>269</v>
      </c>
      <c r="G66" s="2" t="s">
        <v>110</v>
      </c>
      <c r="H66" t="s">
        <v>176</v>
      </c>
      <c r="I66">
        <v>9</v>
      </c>
      <c r="J66" s="1">
        <v>45196</v>
      </c>
      <c r="K66" t="s">
        <v>325</v>
      </c>
      <c r="L66" s="2" t="s">
        <v>326</v>
      </c>
    </row>
    <row r="67" spans="1:13">
      <c r="A67">
        <f>ROW()-1</f>
        <v>66</v>
      </c>
      <c r="B67" s="2" t="s">
        <v>802</v>
      </c>
      <c r="C67" s="3" t="s">
        <v>348</v>
      </c>
      <c r="D67" s="2" t="s">
        <v>119</v>
      </c>
      <c r="E67" s="2" t="s">
        <v>164</v>
      </c>
      <c r="F67" s="3" t="s">
        <v>287</v>
      </c>
      <c r="G67" s="2" t="s">
        <v>112</v>
      </c>
      <c r="H67" t="s">
        <v>176</v>
      </c>
      <c r="I67">
        <v>1.8499999999999999</v>
      </c>
      <c r="J67" s="1">
        <v>45196</v>
      </c>
      <c r="K67" t="s">
        <v>325</v>
      </c>
      <c r="L67" t="s">
        <v>326</v>
      </c>
    </row>
    <row r="68" spans="1:13">
      <c r="A68">
        <f>ROW()-1</f>
        <v>67</v>
      </c>
      <c r="B68" s="2" t="s">
        <v>147</v>
      </c>
      <c r="C68" s="3" t="s">
        <v>363</v>
      </c>
      <c r="D68" s="2" t="s">
        <v>131</v>
      </c>
      <c r="E68" s="2" t="s">
        <v>52</v>
      </c>
      <c r="F68" s="3" t="s">
        <v>247</v>
      </c>
      <c r="G68" s="2" t="s">
        <v>110</v>
      </c>
      <c r="H68" t="s">
        <v>176</v>
      </c>
      <c r="I68">
        <v>7.95</v>
      </c>
      <c r="J68" s="1">
        <v>45196</v>
      </c>
      <c r="K68" t="s">
        <v>325</v>
      </c>
      <c r="L68" s="2" t="s">
        <v>326</v>
      </c>
    </row>
    <row r="69" spans="1:13">
      <c r="A69">
        <f>ROW()-1</f>
        <v>68</v>
      </c>
      <c r="B69" s="2" t="s">
        <v>192</v>
      </c>
      <c r="C69" s="3" t="s">
        <v>364</v>
      </c>
      <c r="D69" s="2" t="s">
        <v>131</v>
      </c>
      <c r="E69" s="2" t="s">
        <v>51</v>
      </c>
      <c r="F69" s="3" t="s">
        <v>246</v>
      </c>
      <c r="G69" s="2" t="s">
        <v>110</v>
      </c>
      <c r="H69" t="s">
        <v>176</v>
      </c>
      <c r="I69">
        <v>7.95</v>
      </c>
      <c r="J69" s="1">
        <v>45196</v>
      </c>
      <c r="K69" t="s">
        <v>325</v>
      </c>
      <c r="L69" s="2" t="s">
        <v>326</v>
      </c>
    </row>
    <row r="70" spans="1:13">
      <c r="A70">
        <f>ROW()-1</f>
        <v>69</v>
      </c>
      <c r="B70" s="2" t="s">
        <v>142</v>
      </c>
      <c r="C70" s="3" t="s">
        <v>384</v>
      </c>
      <c r="D70" s="2" t="s">
        <v>127</v>
      </c>
      <c r="E70" s="2" t="s">
        <v>41</v>
      </c>
      <c r="F70" s="3" t="s">
        <v>239</v>
      </c>
      <c r="G70" s="2" t="s">
        <v>113</v>
      </c>
      <c r="H70" t="s">
        <v>176</v>
      </c>
      <c r="I70">
        <v>3.38</v>
      </c>
      <c r="J70" s="1">
        <v>45196</v>
      </c>
      <c r="K70" t="s">
        <v>325</v>
      </c>
      <c r="L70" t="s">
        <v>326</v>
      </c>
    </row>
    <row r="71" spans="1:13" ht="28.5">
      <c r="A71">
        <f>ROW()-1</f>
        <v>70</v>
      </c>
      <c r="B71" s="2" t="s">
        <v>210</v>
      </c>
      <c r="C71" s="3" t="s">
        <v>385</v>
      </c>
      <c r="D71" s="2" t="s">
        <v>127</v>
      </c>
      <c r="E71" s="2" t="s">
        <v>87</v>
      </c>
      <c r="F71" s="3" t="s">
        <v>279</v>
      </c>
      <c r="G71" s="2" t="s">
        <v>112</v>
      </c>
      <c r="H71" t="s">
        <v>176</v>
      </c>
      <c r="I71">
        <v>104.84</v>
      </c>
      <c r="J71" s="1">
        <v>45196</v>
      </c>
      <c r="K71" t="s">
        <v>325</v>
      </c>
      <c r="L71" s="2" t="s">
        <v>326</v>
      </c>
    </row>
    <row r="72" spans="1:13">
      <c r="A72">
        <f>ROW()-1</f>
        <v>71</v>
      </c>
      <c r="B72" s="2" t="s">
        <v>209</v>
      </c>
      <c r="C72" s="3" t="s">
        <v>387</v>
      </c>
      <c r="D72" s="2" t="s">
        <v>119</v>
      </c>
      <c r="E72" s="2" t="s">
        <v>84</v>
      </c>
      <c r="F72" s="3" t="s">
        <v>276</v>
      </c>
      <c r="G72" s="2" t="s">
        <v>112</v>
      </c>
      <c r="H72" t="s">
        <v>176</v>
      </c>
      <c r="I72">
        <v>2.9</v>
      </c>
      <c r="J72" s="1">
        <v>45196</v>
      </c>
      <c r="K72" t="s">
        <v>325</v>
      </c>
      <c r="L72" t="s">
        <v>326</v>
      </c>
    </row>
    <row r="73" spans="1:13">
      <c r="A73">
        <f>ROW()-1</f>
        <v>72</v>
      </c>
      <c r="B73" s="2" t="s">
        <v>215</v>
      </c>
      <c r="C73" s="3" t="s">
        <v>390</v>
      </c>
      <c r="D73" s="2" t="s">
        <v>222</v>
      </c>
      <c r="E73" s="2" t="s">
        <v>94</v>
      </c>
      <c r="F73" s="3" t="s">
        <v>510</v>
      </c>
      <c r="G73" s="2" t="s">
        <v>112</v>
      </c>
      <c r="H73" t="s">
        <v>176</v>
      </c>
      <c r="I73">
        <v>180.61</v>
      </c>
      <c r="J73" s="1">
        <v>45196</v>
      </c>
      <c r="K73" t="s">
        <v>326</v>
      </c>
      <c r="L73" s="2" t="s">
        <v>326</v>
      </c>
    </row>
    <row r="74" spans="1:13">
      <c r="A74">
        <f>ROW()-1</f>
        <v>73</v>
      </c>
      <c r="B74" s="2" t="s">
        <v>217</v>
      </c>
      <c r="C74" s="3" t="s">
        <v>348</v>
      </c>
      <c r="D74" s="2" t="s">
        <v>119</v>
      </c>
      <c r="E74" s="2" t="s">
        <v>165</v>
      </c>
      <c r="F74" s="3" t="s">
        <v>288</v>
      </c>
      <c r="G74" s="2" t="s">
        <v>113</v>
      </c>
      <c r="H74" t="s">
        <v>176</v>
      </c>
      <c r="I74">
        <v>25</v>
      </c>
      <c r="J74" s="1">
        <v>45196</v>
      </c>
      <c r="K74" t="s">
        <v>325</v>
      </c>
      <c r="L74" s="2" t="s">
        <v>326</v>
      </c>
    </row>
    <row r="75" spans="1:13">
      <c r="A75">
        <f>ROW()-1</f>
        <v>74</v>
      </c>
      <c r="B75" s="2" t="s">
        <v>952</v>
      </c>
      <c r="C75" s="3" t="s">
        <v>399</v>
      </c>
      <c r="D75" s="2" t="s">
        <v>121</v>
      </c>
      <c r="E75" s="2" t="s">
        <v>42</v>
      </c>
      <c r="F75" s="3" t="s">
        <v>240</v>
      </c>
      <c r="G75" s="2" t="s">
        <v>109</v>
      </c>
      <c r="H75" t="s">
        <v>176</v>
      </c>
      <c r="I75">
        <v>22.36</v>
      </c>
      <c r="J75" s="1">
        <v>45196</v>
      </c>
      <c r="K75" t="s">
        <v>325</v>
      </c>
      <c r="L75" s="2" t="s">
        <v>326</v>
      </c>
      <c r="M75" s="4" t="s">
        <v>784</v>
      </c>
    </row>
    <row r="76" spans="1:13">
      <c r="A76">
        <f>ROW()-1</f>
        <v>75</v>
      </c>
      <c r="B76" s="2" t="s">
        <v>220</v>
      </c>
      <c r="C76" s="3" t="s">
        <v>403</v>
      </c>
      <c r="D76" s="2" t="s">
        <v>119</v>
      </c>
      <c r="E76" s="2" t="s">
        <v>106</v>
      </c>
      <c r="F76" s="3" t="s">
        <v>299</v>
      </c>
      <c r="G76" s="2" t="s">
        <v>111</v>
      </c>
      <c r="H76" t="s">
        <v>176</v>
      </c>
      <c r="I76">
        <v>8</v>
      </c>
      <c r="J76" s="1">
        <v>45196</v>
      </c>
      <c r="K76" t="s">
        <v>325</v>
      </c>
      <c r="L76" s="2" t="s">
        <v>326</v>
      </c>
    </row>
    <row r="77" spans="1:13">
      <c r="A77">
        <f>ROW()-1</f>
        <v>76</v>
      </c>
      <c r="B77" s="2" t="s">
        <v>216</v>
      </c>
      <c r="C77" s="3" t="s">
        <v>348</v>
      </c>
      <c r="D77" s="2" t="s">
        <v>119</v>
      </c>
      <c r="E77" s="2" t="s">
        <v>163</v>
      </c>
      <c r="F77" s="3" t="s">
        <v>286</v>
      </c>
      <c r="G77" s="2" t="s">
        <v>109</v>
      </c>
      <c r="H77" t="s">
        <v>176</v>
      </c>
      <c r="I77">
        <v>8.25</v>
      </c>
      <c r="J77" s="1">
        <v>45196</v>
      </c>
      <c r="K77" t="s">
        <v>325</v>
      </c>
      <c r="L77" s="2" t="s">
        <v>326</v>
      </c>
    </row>
    <row r="78" spans="1:13">
      <c r="A78">
        <f>ROW()-1</f>
        <v>77</v>
      </c>
      <c r="B78" t="s">
        <v>118</v>
      </c>
      <c r="C78" s="3" t="s">
        <v>348</v>
      </c>
      <c r="D78" s="2" t="s">
        <v>119</v>
      </c>
      <c r="E78" s="2" t="s">
        <v>160</v>
      </c>
      <c r="F78" s="3" t="s">
        <v>229</v>
      </c>
      <c r="G78" s="2" t="s">
        <v>112</v>
      </c>
      <c r="H78" t="s">
        <v>176</v>
      </c>
      <c r="I78">
        <v>28</v>
      </c>
      <c r="J78" s="1">
        <v>45196</v>
      </c>
      <c r="K78" t="s">
        <v>325</v>
      </c>
      <c r="L78" s="2" t="s">
        <v>326</v>
      </c>
    </row>
    <row r="79" spans="1:13">
      <c r="A79">
        <f>ROW()-1</f>
        <v>78</v>
      </c>
      <c r="B79" t="s">
        <v>168</v>
      </c>
      <c r="C79" s="3" t="s">
        <v>405</v>
      </c>
      <c r="D79" s="2" t="s">
        <v>119</v>
      </c>
      <c r="E79" s="2" t="s">
        <v>27</v>
      </c>
      <c r="F79" s="3" t="s">
        <v>225</v>
      </c>
      <c r="G79" s="2" t="s">
        <v>110</v>
      </c>
      <c r="H79" t="s">
        <v>176</v>
      </c>
      <c r="I79">
        <v>2.7</v>
      </c>
      <c r="J79" s="1">
        <v>45196</v>
      </c>
      <c r="K79" t="s">
        <v>325</v>
      </c>
      <c r="L79" t="s">
        <v>326</v>
      </c>
    </row>
    <row r="80" spans="1:13">
      <c r="A80">
        <f>ROW()-1</f>
        <v>79</v>
      </c>
      <c r="B80" t="s">
        <v>167</v>
      </c>
      <c r="C80" s="3" t="s">
        <v>348</v>
      </c>
      <c r="D80" s="2" t="s">
        <v>119</v>
      </c>
      <c r="E80" s="2" t="s">
        <v>158</v>
      </c>
      <c r="F80" s="3" t="s">
        <v>227</v>
      </c>
      <c r="G80" s="2" t="s">
        <v>109</v>
      </c>
      <c r="H80" t="s">
        <v>176</v>
      </c>
      <c r="I80">
        <v>140</v>
      </c>
      <c r="J80" s="1">
        <v>45196</v>
      </c>
      <c r="K80" t="s">
        <v>325</v>
      </c>
      <c r="L80" s="2" t="s">
        <v>326</v>
      </c>
    </row>
    <row r="81" spans="1:13">
      <c r="A81">
        <f>ROW()-1</f>
        <v>80</v>
      </c>
      <c r="B81" s="2" t="s">
        <v>218</v>
      </c>
      <c r="C81" s="3" t="s">
        <v>348</v>
      </c>
      <c r="D81" s="2" t="s">
        <v>119</v>
      </c>
      <c r="E81" s="2" t="s">
        <v>166</v>
      </c>
      <c r="F81" s="3" t="s">
        <v>270</v>
      </c>
      <c r="G81" s="2" t="s">
        <v>112</v>
      </c>
      <c r="H81" t="s">
        <v>176</v>
      </c>
      <c r="I81">
        <v>33</v>
      </c>
      <c r="J81" s="1">
        <v>45196</v>
      </c>
      <c r="K81" t="s">
        <v>325</v>
      </c>
      <c r="L81" s="2" t="s">
        <v>326</v>
      </c>
    </row>
    <row r="82" spans="1:13" ht="28.5">
      <c r="A82">
        <f>ROW()-1</f>
        <v>81</v>
      </c>
      <c r="B82" s="2" t="s">
        <v>206</v>
      </c>
      <c r="C82" s="3" t="s">
        <v>406</v>
      </c>
      <c r="D82" s="2" t="s">
        <v>119</v>
      </c>
      <c r="E82" s="2" t="s">
        <v>79</v>
      </c>
      <c r="F82" s="3" t="s">
        <v>270</v>
      </c>
      <c r="G82" s="2" t="s">
        <v>112</v>
      </c>
      <c r="H82" t="s">
        <v>176</v>
      </c>
      <c r="I82">
        <v>33</v>
      </c>
      <c r="J82" s="1">
        <v>45196</v>
      </c>
      <c r="K82" t="s">
        <v>325</v>
      </c>
      <c r="L82" s="2" t="s">
        <v>326</v>
      </c>
    </row>
    <row r="83" spans="1:13" ht="28.5">
      <c r="A83">
        <f>ROW()-1</f>
        <v>82</v>
      </c>
      <c r="B83" s="2" t="s">
        <v>814</v>
      </c>
      <c r="C83" s="3" t="s">
        <v>407</v>
      </c>
      <c r="D83" s="2" t="s">
        <v>137</v>
      </c>
      <c r="E83" s="2" t="s">
        <v>66</v>
      </c>
      <c r="F83" s="3" t="s">
        <v>260</v>
      </c>
      <c r="G83" s="2" t="s">
        <v>115</v>
      </c>
      <c r="H83" t="s">
        <v>176</v>
      </c>
      <c r="I83">
        <v>135.6</v>
      </c>
      <c r="J83" s="1">
        <v>45196</v>
      </c>
      <c r="K83" t="s">
        <v>326</v>
      </c>
      <c r="L83" s="2" t="s">
        <v>326</v>
      </c>
    </row>
    <row r="84" spans="1:13">
      <c r="A84">
        <f>ROW()-1</f>
        <v>83</v>
      </c>
      <c r="B84" t="s">
        <v>834</v>
      </c>
      <c r="C84" s="3" t="s">
        <v>408</v>
      </c>
      <c r="D84" s="2" t="s">
        <v>119</v>
      </c>
      <c r="E84" s="2" t="s">
        <v>26</v>
      </c>
      <c r="F84" s="3" t="s">
        <v>224</v>
      </c>
      <c r="G84" s="2" t="s">
        <v>109</v>
      </c>
      <c r="H84" t="s">
        <v>176</v>
      </c>
      <c r="I84">
        <v>144</v>
      </c>
      <c r="J84" s="1">
        <v>45196</v>
      </c>
      <c r="K84" t="s">
        <v>325</v>
      </c>
      <c r="L84" s="2" t="s">
        <v>326</v>
      </c>
    </row>
    <row r="85" spans="1:13" ht="28.5">
      <c r="A85">
        <f>ROW()-1</f>
        <v>84</v>
      </c>
      <c r="B85" s="2" t="s">
        <v>815</v>
      </c>
      <c r="C85" s="3" t="s">
        <v>409</v>
      </c>
      <c r="D85" s="2" t="s">
        <v>121</v>
      </c>
      <c r="E85" s="2" t="s">
        <v>57</v>
      </c>
      <c r="F85" s="3" t="s">
        <v>252</v>
      </c>
      <c r="G85" s="2" t="s">
        <v>112</v>
      </c>
      <c r="H85" t="s">
        <v>176</v>
      </c>
      <c r="I85">
        <v>51.02</v>
      </c>
      <c r="J85" s="1">
        <v>45196</v>
      </c>
      <c r="K85" t="s">
        <v>325</v>
      </c>
      <c r="L85" s="2" t="s">
        <v>326</v>
      </c>
    </row>
    <row r="86" spans="1:13">
      <c r="A86">
        <f>ROW()-1</f>
        <v>85</v>
      </c>
      <c r="B86" s="2" t="s">
        <v>144</v>
      </c>
      <c r="C86" s="3" t="s">
        <v>411</v>
      </c>
      <c r="D86" s="2" t="s">
        <v>119</v>
      </c>
      <c r="E86" s="2" t="s">
        <v>77</v>
      </c>
      <c r="F86" s="3" t="s">
        <v>268</v>
      </c>
      <c r="G86" s="2" t="s">
        <v>110</v>
      </c>
      <c r="H86" t="s">
        <v>176</v>
      </c>
      <c r="I86">
        <v>13</v>
      </c>
      <c r="J86" s="1">
        <v>45196</v>
      </c>
      <c r="K86" t="s">
        <v>325</v>
      </c>
      <c r="L86" s="2" t="s">
        <v>326</v>
      </c>
    </row>
    <row r="87" spans="1:13">
      <c r="A87">
        <f>ROW()-1</f>
        <v>86</v>
      </c>
      <c r="B87" t="s">
        <v>141</v>
      </c>
      <c r="C87" s="3" t="s">
        <v>348</v>
      </c>
      <c r="D87" s="2" t="s">
        <v>119</v>
      </c>
      <c r="E87" s="2" t="s">
        <v>28</v>
      </c>
      <c r="F87" s="3" t="s">
        <v>226</v>
      </c>
      <c r="G87" s="2" t="s">
        <v>111</v>
      </c>
      <c r="H87" t="s">
        <v>176</v>
      </c>
      <c r="I87">
        <v>12</v>
      </c>
      <c r="J87" s="1">
        <v>45196</v>
      </c>
      <c r="K87" t="s">
        <v>325</v>
      </c>
      <c r="L87" s="2" t="s">
        <v>326</v>
      </c>
    </row>
    <row r="88" spans="1:13">
      <c r="A88">
        <f>ROW()-1</f>
        <v>87</v>
      </c>
      <c r="B88" s="2" t="s">
        <v>439</v>
      </c>
      <c r="C88" s="3" t="s">
        <v>348</v>
      </c>
      <c r="D88" s="2" t="s">
        <v>119</v>
      </c>
      <c r="E88" s="2" t="s">
        <v>438</v>
      </c>
      <c r="F88" s="3" t="s">
        <v>437</v>
      </c>
      <c r="G88" s="2" t="s">
        <v>112</v>
      </c>
      <c r="H88" s="2" t="s">
        <v>176</v>
      </c>
      <c r="I88" s="6">
        <v>411</v>
      </c>
      <c r="J88" s="8">
        <v>45274</v>
      </c>
      <c r="K88" s="2" t="s">
        <v>326</v>
      </c>
      <c r="L88" s="2" t="s">
        <v>326</v>
      </c>
      <c r="M88" s="2"/>
    </row>
    <row r="89" spans="1:13">
      <c r="A89">
        <f>ROW()-1</f>
        <v>88</v>
      </c>
      <c r="B89" s="2" t="s">
        <v>208</v>
      </c>
      <c r="C89" s="3" t="s">
        <v>416</v>
      </c>
      <c r="D89" s="2" t="s">
        <v>138</v>
      </c>
      <c r="E89" s="2" t="s">
        <v>83</v>
      </c>
      <c r="F89" s="3" t="s">
        <v>275</v>
      </c>
      <c r="G89" s="2" t="s">
        <v>112</v>
      </c>
      <c r="H89" t="s">
        <v>176</v>
      </c>
      <c r="I89">
        <v>75</v>
      </c>
      <c r="J89" s="1">
        <v>45196</v>
      </c>
      <c r="K89" t="s">
        <v>326</v>
      </c>
      <c r="L89" s="2" t="s">
        <v>326</v>
      </c>
    </row>
    <row r="90" spans="1:13" ht="42.75">
      <c r="A90">
        <f>ROW()-1</f>
        <v>89</v>
      </c>
      <c r="B90" s="2" t="s">
        <v>806</v>
      </c>
      <c r="C90" s="3" t="s">
        <v>521</v>
      </c>
      <c r="D90" s="2" t="s">
        <v>119</v>
      </c>
      <c r="E90" s="2" t="s">
        <v>440</v>
      </c>
      <c r="F90" s="3" t="s">
        <v>441</v>
      </c>
      <c r="G90" s="2" t="s">
        <v>112</v>
      </c>
      <c r="H90" s="2" t="s">
        <v>176</v>
      </c>
      <c r="I90" s="6">
        <v>4</v>
      </c>
      <c r="J90" s="8">
        <v>45274</v>
      </c>
      <c r="K90" s="2" t="s">
        <v>326</v>
      </c>
      <c r="L90" s="2" t="s">
        <v>326</v>
      </c>
    </row>
    <row r="91" spans="1:13">
      <c r="A91">
        <f>ROW()-1</f>
        <v>90</v>
      </c>
      <c r="B91" s="2" t="s">
        <v>809</v>
      </c>
      <c r="C91" s="3" t="s">
        <v>522</v>
      </c>
      <c r="D91" s="2" t="s">
        <v>119</v>
      </c>
      <c r="E91" s="2" t="s">
        <v>442</v>
      </c>
      <c r="F91" s="3" t="s">
        <v>445</v>
      </c>
      <c r="G91" s="2" t="s">
        <v>111</v>
      </c>
      <c r="H91" s="2" t="s">
        <v>176</v>
      </c>
      <c r="I91" s="6">
        <v>19</v>
      </c>
      <c r="J91" s="8">
        <v>45274</v>
      </c>
      <c r="K91" s="2" t="s">
        <v>325</v>
      </c>
      <c r="L91" s="2" t="s">
        <v>326</v>
      </c>
    </row>
    <row r="92" spans="1:13">
      <c r="A92">
        <f>ROW()-1</f>
        <v>91</v>
      </c>
      <c r="B92" s="2" t="s">
        <v>444</v>
      </c>
      <c r="C92" s="3" t="s">
        <v>522</v>
      </c>
      <c r="D92" s="2" t="s">
        <v>119</v>
      </c>
      <c r="E92" s="2" t="s">
        <v>443</v>
      </c>
      <c r="F92" s="3" t="s">
        <v>446</v>
      </c>
      <c r="G92" s="2" t="s">
        <v>111</v>
      </c>
      <c r="H92" s="2" t="s">
        <v>176</v>
      </c>
      <c r="I92" s="6">
        <v>19</v>
      </c>
      <c r="J92" s="8">
        <v>45274</v>
      </c>
      <c r="K92" s="2" t="s">
        <v>325</v>
      </c>
      <c r="L92" s="2" t="s">
        <v>326</v>
      </c>
    </row>
    <row r="93" spans="1:13">
      <c r="A93">
        <f>ROW()-1</f>
        <v>92</v>
      </c>
      <c r="B93" s="2" t="s">
        <v>449</v>
      </c>
      <c r="C93" s="3" t="s">
        <v>520</v>
      </c>
      <c r="D93" s="2" t="s">
        <v>119</v>
      </c>
      <c r="E93" s="2" t="s">
        <v>447</v>
      </c>
      <c r="F93" s="3" t="s">
        <v>451</v>
      </c>
      <c r="G93" s="2" t="s">
        <v>112</v>
      </c>
      <c r="H93" s="2" t="s">
        <v>176</v>
      </c>
      <c r="I93" s="6">
        <v>2.8</v>
      </c>
      <c r="J93" s="8">
        <v>45274</v>
      </c>
      <c r="K93" s="2" t="s">
        <v>325</v>
      </c>
      <c r="L93" s="2" t="s">
        <v>326</v>
      </c>
    </row>
    <row r="94" spans="1:13">
      <c r="A94">
        <f>ROW()-1</f>
        <v>93</v>
      </c>
      <c r="B94" s="2" t="s">
        <v>151</v>
      </c>
      <c r="C94" s="3" t="s">
        <v>420</v>
      </c>
      <c r="D94" s="2" t="s">
        <v>127</v>
      </c>
      <c r="E94" s="2" t="s">
        <v>76</v>
      </c>
      <c r="F94" s="3" t="s">
        <v>267</v>
      </c>
      <c r="G94" s="2" t="s">
        <v>112</v>
      </c>
      <c r="H94" t="s">
        <v>176</v>
      </c>
      <c r="I94">
        <v>232.26</v>
      </c>
      <c r="J94" s="1">
        <v>45196</v>
      </c>
      <c r="K94" t="s">
        <v>325</v>
      </c>
      <c r="L94" s="2" t="s">
        <v>326</v>
      </c>
    </row>
    <row r="95" spans="1:13">
      <c r="A95">
        <f>ROW()-1</f>
        <v>94</v>
      </c>
      <c r="B95" s="2" t="s">
        <v>450</v>
      </c>
      <c r="C95" s="3" t="s">
        <v>348</v>
      </c>
      <c r="D95" s="2" t="s">
        <v>119</v>
      </c>
      <c r="E95" s="2" t="s">
        <v>448</v>
      </c>
      <c r="F95" s="3" t="s">
        <v>452</v>
      </c>
      <c r="G95" s="2" t="s">
        <v>112</v>
      </c>
      <c r="H95" s="2" t="s">
        <v>176</v>
      </c>
      <c r="I95" s="6">
        <v>4.95</v>
      </c>
      <c r="J95" s="8">
        <v>45274</v>
      </c>
      <c r="K95" s="2" t="s">
        <v>325</v>
      </c>
      <c r="L95" s="2" t="s">
        <v>326</v>
      </c>
    </row>
    <row r="96" spans="1:13">
      <c r="A96">
        <f>ROW()-1</f>
        <v>95</v>
      </c>
      <c r="B96" s="2" t="s">
        <v>161</v>
      </c>
      <c r="C96" s="3" t="s">
        <v>348</v>
      </c>
      <c r="D96" s="2" t="s">
        <v>119</v>
      </c>
      <c r="E96" s="2" t="s">
        <v>161</v>
      </c>
      <c r="F96" s="3" t="s">
        <v>259</v>
      </c>
      <c r="G96" s="2" t="s">
        <v>112</v>
      </c>
      <c r="H96" t="s">
        <v>176</v>
      </c>
      <c r="I96">
        <v>12.450000000000001</v>
      </c>
      <c r="J96" s="1">
        <v>45196</v>
      </c>
      <c r="K96" t="s">
        <v>326</v>
      </c>
      <c r="L96" s="2" t="s">
        <v>326</v>
      </c>
    </row>
    <row r="97" spans="1:12">
      <c r="A97">
        <f>ROW()-1</f>
        <v>96</v>
      </c>
      <c r="B97" t="s">
        <v>772</v>
      </c>
      <c r="D97" t="s">
        <v>773</v>
      </c>
      <c r="E97" t="s">
        <v>774</v>
      </c>
      <c r="F97" t="s">
        <v>775</v>
      </c>
      <c r="G97" t="s">
        <v>112</v>
      </c>
      <c r="H97" t="s">
        <v>176</v>
      </c>
      <c r="I97">
        <v>34.69</v>
      </c>
      <c r="J97" s="1">
        <v>45356</v>
      </c>
      <c r="K97" t="s">
        <v>325</v>
      </c>
      <c r="L97" s="2" t="s">
        <v>326</v>
      </c>
    </row>
    <row r="98" spans="1:12">
      <c r="A98">
        <f>ROW()-1</f>
        <v>97</v>
      </c>
      <c r="B98" t="s">
        <v>843</v>
      </c>
      <c r="E98" t="s">
        <v>844</v>
      </c>
      <c r="G98" t="s">
        <v>779</v>
      </c>
      <c r="H98" t="s">
        <v>176</v>
      </c>
      <c r="I98">
        <v>6.49</v>
      </c>
      <c r="J98" s="1">
        <v>45390</v>
      </c>
      <c r="K98" t="s">
        <v>325</v>
      </c>
    </row>
    <row r="99" spans="1:12">
      <c r="A99">
        <f>ROW()-1</f>
        <v>98</v>
      </c>
      <c r="B99" t="s">
        <v>968</v>
      </c>
      <c r="C99" s="4" t="s">
        <v>964</v>
      </c>
      <c r="D99" t="s">
        <v>131</v>
      </c>
      <c r="E99" t="s">
        <v>965</v>
      </c>
      <c r="F99" t="s">
        <v>966</v>
      </c>
      <c r="G99" t="s">
        <v>967</v>
      </c>
      <c r="H99" t="s">
        <v>176</v>
      </c>
      <c r="I99">
        <v>4.79</v>
      </c>
      <c r="J99" s="1">
        <v>45609</v>
      </c>
      <c r="K99" t="s">
        <v>325</v>
      </c>
    </row>
    <row r="100" spans="1:12">
      <c r="A100">
        <f>ROW()-1</f>
        <v>99</v>
      </c>
      <c r="B100" s="2" t="s">
        <v>835</v>
      </c>
      <c r="C100" s="3" t="s">
        <v>362</v>
      </c>
      <c r="D100" s="2" t="s">
        <v>125</v>
      </c>
      <c r="E100" s="2" t="s">
        <v>60</v>
      </c>
      <c r="F100" s="3" t="s">
        <v>254</v>
      </c>
      <c r="G100" s="2" t="s">
        <v>113</v>
      </c>
      <c r="H100" t="s">
        <v>180</v>
      </c>
      <c r="I100">
        <v>6.1</v>
      </c>
      <c r="J100" s="1">
        <v>45196</v>
      </c>
      <c r="K100" t="s">
        <v>325</v>
      </c>
      <c r="L100" s="2" t="s">
        <v>326</v>
      </c>
    </row>
    <row r="101" spans="1:12">
      <c r="A101">
        <f>ROW()-1</f>
        <v>100</v>
      </c>
      <c r="B101" t="s">
        <v>797</v>
      </c>
      <c r="C101" s="3" t="s">
        <v>375</v>
      </c>
      <c r="D101" s="2" t="s">
        <v>122</v>
      </c>
      <c r="E101" s="2" t="s">
        <v>32</v>
      </c>
      <c r="F101" s="3" t="s">
        <v>232</v>
      </c>
      <c r="G101" s="2" t="s">
        <v>113</v>
      </c>
      <c r="H101" t="s">
        <v>180</v>
      </c>
      <c r="I101">
        <v>724</v>
      </c>
      <c r="J101" s="1">
        <v>45196</v>
      </c>
      <c r="K101" t="s">
        <v>326</v>
      </c>
      <c r="L101" s="2" t="s">
        <v>326</v>
      </c>
    </row>
    <row r="102" spans="1:12">
      <c r="A102">
        <f>ROW()-1</f>
        <v>101</v>
      </c>
      <c r="B102" s="2" t="s">
        <v>836</v>
      </c>
      <c r="C102" s="3" t="s">
        <v>523</v>
      </c>
      <c r="D102" s="2" t="s">
        <v>127</v>
      </c>
      <c r="E102" s="2" t="s">
        <v>435</v>
      </c>
      <c r="F102" s="3" t="s">
        <v>436</v>
      </c>
      <c r="G102" s="2" t="s">
        <v>112</v>
      </c>
      <c r="H102" t="s">
        <v>180</v>
      </c>
      <c r="I102" s="6">
        <v>38.11</v>
      </c>
      <c r="J102" s="8">
        <v>45274</v>
      </c>
      <c r="K102" s="2" t="s">
        <v>325</v>
      </c>
      <c r="L102" s="2" t="s">
        <v>326</v>
      </c>
    </row>
    <row r="103" spans="1:12">
      <c r="A103">
        <f>ROW()-1</f>
        <v>102</v>
      </c>
      <c r="B103" s="2" t="s">
        <v>153</v>
      </c>
      <c r="C103" s="3" t="s">
        <v>341</v>
      </c>
      <c r="D103" s="2" t="s">
        <v>132</v>
      </c>
      <c r="E103" s="2" t="s">
        <v>85</v>
      </c>
      <c r="F103" s="3" t="s">
        <v>277</v>
      </c>
      <c r="G103" s="2" t="s">
        <v>112</v>
      </c>
      <c r="H103" t="s">
        <v>180</v>
      </c>
      <c r="I103">
        <v>176</v>
      </c>
      <c r="J103" s="1">
        <v>45196</v>
      </c>
      <c r="K103" t="s">
        <v>325</v>
      </c>
      <c r="L103" s="2" t="s">
        <v>325</v>
      </c>
    </row>
    <row r="104" spans="1:12">
      <c r="A104">
        <f>ROW()-1</f>
        <v>103</v>
      </c>
      <c r="B104" s="2" t="s">
        <v>143</v>
      </c>
      <c r="C104" s="3" t="s">
        <v>353</v>
      </c>
      <c r="D104" s="2" t="s">
        <v>120</v>
      </c>
      <c r="E104" s="2" t="s">
        <v>45</v>
      </c>
      <c r="F104" s="3" t="s">
        <v>243</v>
      </c>
      <c r="G104" s="2" t="s">
        <v>112</v>
      </c>
      <c r="H104" t="s">
        <v>180</v>
      </c>
      <c r="I104">
        <v>179.32</v>
      </c>
      <c r="J104" s="1">
        <v>45196</v>
      </c>
      <c r="K104" t="s">
        <v>325</v>
      </c>
      <c r="L104" s="2" t="s">
        <v>325</v>
      </c>
    </row>
    <row r="105" spans="1:12">
      <c r="A105">
        <f>ROW()-1</f>
        <v>104</v>
      </c>
      <c r="B105" s="2">
        <v>7</v>
      </c>
      <c r="C105" s="3" t="s">
        <v>945</v>
      </c>
      <c r="D105" s="2" t="s">
        <v>120</v>
      </c>
      <c r="E105" s="2" t="s">
        <v>95</v>
      </c>
      <c r="F105" s="3" t="s">
        <v>289</v>
      </c>
      <c r="G105" s="2" t="s">
        <v>112</v>
      </c>
      <c r="H105" t="s">
        <v>180</v>
      </c>
      <c r="I105">
        <v>76.5</v>
      </c>
      <c r="J105" s="1">
        <v>45196</v>
      </c>
      <c r="K105" t="s">
        <v>325</v>
      </c>
      <c r="L105" s="2" t="s">
        <v>325</v>
      </c>
    </row>
    <row r="106" spans="1:12">
      <c r="A106">
        <f>ROW()-1</f>
        <v>105</v>
      </c>
      <c r="B106" t="s">
        <v>838</v>
      </c>
      <c r="C106" s="4" t="s">
        <v>785</v>
      </c>
      <c r="D106" t="s">
        <v>786</v>
      </c>
      <c r="E106" t="s">
        <v>787</v>
      </c>
      <c r="F106" t="s">
        <v>788</v>
      </c>
      <c r="G106" t="s">
        <v>789</v>
      </c>
      <c r="H106" t="s">
        <v>179</v>
      </c>
      <c r="I106">
        <v>391</v>
      </c>
      <c r="J106" s="1">
        <v>45371</v>
      </c>
      <c r="K106" t="s">
        <v>325</v>
      </c>
      <c r="L106" s="2" t="s">
        <v>326</v>
      </c>
    </row>
    <row r="107" spans="1:12">
      <c r="A107">
        <f>ROW()-1</f>
        <v>106</v>
      </c>
      <c r="B107" t="s">
        <v>170</v>
      </c>
      <c r="C107" s="3" t="s">
        <v>340</v>
      </c>
      <c r="D107" s="2" t="s">
        <v>122</v>
      </c>
      <c r="E107" s="2" t="s">
        <v>31</v>
      </c>
      <c r="F107" s="3" t="s">
        <v>231</v>
      </c>
      <c r="G107" s="2" t="s">
        <v>112</v>
      </c>
      <c r="H107" t="s">
        <v>179</v>
      </c>
      <c r="I107">
        <v>80</v>
      </c>
      <c r="J107" s="1">
        <v>45196</v>
      </c>
      <c r="K107" t="s">
        <v>325</v>
      </c>
      <c r="L107" s="2" t="s">
        <v>325</v>
      </c>
    </row>
    <row r="108" spans="1:12">
      <c r="A108">
        <f>ROW()-1</f>
        <v>107</v>
      </c>
      <c r="B108" s="2" t="s">
        <v>221</v>
      </c>
      <c r="C108" s="3" t="s">
        <v>361</v>
      </c>
      <c r="D108" s="2" t="s">
        <v>122</v>
      </c>
      <c r="E108" s="2" t="s">
        <v>107</v>
      </c>
      <c r="F108" s="3" t="s">
        <v>300</v>
      </c>
      <c r="G108" s="2" t="s">
        <v>112</v>
      </c>
      <c r="H108" t="s">
        <v>179</v>
      </c>
      <c r="I108">
        <v>390</v>
      </c>
      <c r="J108" s="1">
        <v>45196</v>
      </c>
      <c r="K108" t="s">
        <v>325</v>
      </c>
      <c r="L108" s="2" t="s">
        <v>325</v>
      </c>
    </row>
    <row r="109" spans="1:12">
      <c r="A109">
        <f>ROW()-1</f>
        <v>108</v>
      </c>
      <c r="B109" s="2" t="s">
        <v>198</v>
      </c>
      <c r="C109" s="3" t="s">
        <v>366</v>
      </c>
      <c r="D109" s="2" t="s">
        <v>135</v>
      </c>
      <c r="E109" s="2" t="s">
        <v>63</v>
      </c>
      <c r="F109" s="3" t="s">
        <v>257</v>
      </c>
      <c r="G109" s="2" t="s">
        <v>112</v>
      </c>
      <c r="H109" t="s">
        <v>179</v>
      </c>
      <c r="I109">
        <v>95</v>
      </c>
      <c r="J109" s="1">
        <v>45196</v>
      </c>
      <c r="K109" t="s">
        <v>325</v>
      </c>
      <c r="L109" s="2" t="s">
        <v>325</v>
      </c>
    </row>
    <row r="110" spans="1:12">
      <c r="A110">
        <f>ROW()-1</f>
        <v>109</v>
      </c>
      <c r="B110" s="2" t="s">
        <v>152</v>
      </c>
      <c r="C110" s="3" t="s">
        <v>367</v>
      </c>
      <c r="D110" s="2" t="s">
        <v>121</v>
      </c>
      <c r="E110" s="2" t="s">
        <v>82</v>
      </c>
      <c r="F110" s="3" t="s">
        <v>274</v>
      </c>
      <c r="G110" s="2" t="s">
        <v>112</v>
      </c>
      <c r="H110" t="s">
        <v>179</v>
      </c>
      <c r="I110">
        <v>166.18</v>
      </c>
      <c r="J110" s="1">
        <v>45196</v>
      </c>
      <c r="K110" t="s">
        <v>325</v>
      </c>
      <c r="L110" s="2" t="s">
        <v>325</v>
      </c>
    </row>
    <row r="111" spans="1:12">
      <c r="A111">
        <f>ROW()-1</f>
        <v>110</v>
      </c>
      <c r="B111" s="2" t="s">
        <v>200</v>
      </c>
      <c r="C111" s="3" t="s">
        <v>413</v>
      </c>
      <c r="D111" s="2" t="s">
        <v>136</v>
      </c>
      <c r="E111" s="2" t="s">
        <v>65</v>
      </c>
      <c r="F111" s="3" t="s">
        <v>258</v>
      </c>
      <c r="G111" s="2" t="s">
        <v>112</v>
      </c>
      <c r="H111" t="s">
        <v>185</v>
      </c>
      <c r="I111">
        <v>75</v>
      </c>
      <c r="J111" s="1">
        <v>45196</v>
      </c>
      <c r="K111" t="s">
        <v>326</v>
      </c>
      <c r="L111" s="2" t="s">
        <v>326</v>
      </c>
    </row>
    <row r="112" spans="1:12">
      <c r="A112">
        <f>ROW()-1</f>
        <v>111</v>
      </c>
      <c r="B112" s="2" t="s">
        <v>839</v>
      </c>
      <c r="C112" s="3" t="s">
        <v>356</v>
      </c>
      <c r="D112" s="2" t="s">
        <v>132</v>
      </c>
      <c r="E112" s="2" t="s">
        <v>56</v>
      </c>
      <c r="F112" s="3" t="s">
        <v>251</v>
      </c>
      <c r="G112" s="2" t="s">
        <v>112</v>
      </c>
      <c r="H112" t="s">
        <v>185</v>
      </c>
      <c r="I112">
        <v>28.5</v>
      </c>
      <c r="J112" s="1">
        <v>45196</v>
      </c>
      <c r="K112" t="s">
        <v>325</v>
      </c>
      <c r="L112" s="2" t="s">
        <v>325</v>
      </c>
    </row>
    <row r="113" spans="1:12">
      <c r="A113">
        <f>ROW()-1</f>
        <v>112</v>
      </c>
      <c r="B113" s="2" t="s">
        <v>840</v>
      </c>
      <c r="C113" s="3" t="s">
        <v>354</v>
      </c>
      <c r="D113" s="2" t="s">
        <v>123</v>
      </c>
      <c r="E113" s="2" t="s">
        <v>108</v>
      </c>
      <c r="F113" s="3" t="s">
        <v>301</v>
      </c>
      <c r="G113" s="2" t="s">
        <v>112</v>
      </c>
      <c r="H113" t="s">
        <v>187</v>
      </c>
      <c r="I113">
        <v>27.2</v>
      </c>
      <c r="J113" s="1">
        <v>45196</v>
      </c>
      <c r="K113" t="s">
        <v>325</v>
      </c>
      <c r="L113" s="2" t="s">
        <v>325</v>
      </c>
    </row>
    <row r="114" spans="1:12">
      <c r="A114">
        <f>ROW()-1</f>
        <v>113</v>
      </c>
      <c r="B114" t="s">
        <v>887</v>
      </c>
      <c r="C114" s="4" t="s">
        <v>888</v>
      </c>
      <c r="D114" t="s">
        <v>889</v>
      </c>
      <c r="E114" t="s">
        <v>890</v>
      </c>
      <c r="F114" t="s">
        <v>891</v>
      </c>
      <c r="G114" t="s">
        <v>112</v>
      </c>
      <c r="H114" t="s">
        <v>187</v>
      </c>
      <c r="I114">
        <v>412</v>
      </c>
      <c r="J114" s="1">
        <v>45485</v>
      </c>
      <c r="K114" t="s">
        <v>325</v>
      </c>
      <c r="L114" s="2" t="s">
        <v>325</v>
      </c>
    </row>
    <row r="115" spans="1:12">
      <c r="A115">
        <f>ROW()-1</f>
        <v>114</v>
      </c>
      <c r="B115" t="s">
        <v>900</v>
      </c>
      <c r="C115" s="4" t="s">
        <v>901</v>
      </c>
      <c r="D115" t="s">
        <v>132</v>
      </c>
      <c r="E115" t="s">
        <v>902</v>
      </c>
      <c r="F115" t="s">
        <v>903</v>
      </c>
      <c r="G115" t="s">
        <v>112</v>
      </c>
      <c r="H115" t="s">
        <v>187</v>
      </c>
      <c r="I115">
        <v>591</v>
      </c>
      <c r="J115" s="1">
        <v>45489</v>
      </c>
      <c r="K115" t="s">
        <v>325</v>
      </c>
      <c r="L115" s="2" t="s">
        <v>325</v>
      </c>
    </row>
    <row r="116" spans="1:12">
      <c r="A116">
        <f>ROW()-1</f>
        <v>115</v>
      </c>
      <c r="B116" t="s">
        <v>904</v>
      </c>
      <c r="C116" s="4" t="s">
        <v>905</v>
      </c>
      <c r="D116" t="s">
        <v>132</v>
      </c>
      <c r="E116" t="s">
        <v>906</v>
      </c>
      <c r="F116" t="s">
        <v>907</v>
      </c>
      <c r="G116" t="s">
        <v>112</v>
      </c>
      <c r="H116" t="s">
        <v>187</v>
      </c>
      <c r="I116">
        <v>167.25</v>
      </c>
      <c r="J116" s="1">
        <v>45489</v>
      </c>
      <c r="K116" t="s">
        <v>325</v>
      </c>
      <c r="L116" s="2" t="s">
        <v>325</v>
      </c>
    </row>
    <row r="117" spans="1:12">
      <c r="A117">
        <f>ROW()-1</f>
        <v>116</v>
      </c>
      <c r="B117" t="s">
        <v>908</v>
      </c>
      <c r="C117" s="4" t="s">
        <v>909</v>
      </c>
      <c r="D117" t="s">
        <v>132</v>
      </c>
      <c r="E117" t="s">
        <v>910</v>
      </c>
      <c r="F117" t="s">
        <v>911</v>
      </c>
      <c r="G117" t="s">
        <v>112</v>
      </c>
      <c r="H117" t="s">
        <v>187</v>
      </c>
      <c r="I117">
        <v>267</v>
      </c>
      <c r="J117" s="1">
        <v>45489</v>
      </c>
      <c r="K117" t="s">
        <v>325</v>
      </c>
      <c r="L117" s="2" t="s">
        <v>325</v>
      </c>
    </row>
    <row r="118" spans="1:12">
      <c r="A118">
        <f>ROW()-1</f>
        <v>117</v>
      </c>
      <c r="B118" t="s">
        <v>912</v>
      </c>
      <c r="C118" s="4" t="s">
        <v>913</v>
      </c>
      <c r="D118" t="s">
        <v>132</v>
      </c>
      <c r="E118" t="s">
        <v>914</v>
      </c>
      <c r="F118" t="s">
        <v>915</v>
      </c>
      <c r="G118" t="s">
        <v>112</v>
      </c>
      <c r="H118" t="s">
        <v>187</v>
      </c>
      <c r="I118">
        <v>500</v>
      </c>
      <c r="J118" s="1">
        <v>45489</v>
      </c>
      <c r="K118" t="s">
        <v>325</v>
      </c>
      <c r="L118" s="2" t="s">
        <v>325</v>
      </c>
    </row>
    <row r="119" spans="1:12">
      <c r="A119">
        <f>ROW()-1</f>
        <v>118</v>
      </c>
      <c r="B119" t="s">
        <v>916</v>
      </c>
      <c r="C119" s="4" t="s">
        <v>917</v>
      </c>
      <c r="D119" t="s">
        <v>132</v>
      </c>
      <c r="E119" t="s">
        <v>918</v>
      </c>
      <c r="F119" t="s">
        <v>919</v>
      </c>
      <c r="G119" t="s">
        <v>112</v>
      </c>
      <c r="H119" t="s">
        <v>187</v>
      </c>
      <c r="I119">
        <v>252.75</v>
      </c>
      <c r="J119" s="1">
        <v>45489</v>
      </c>
      <c r="K119" t="s">
        <v>325</v>
      </c>
      <c r="L119" s="2" t="s">
        <v>325</v>
      </c>
    </row>
    <row r="120" spans="1:12">
      <c r="A120">
        <f>ROW()-1</f>
        <v>119</v>
      </c>
      <c r="B120" t="s">
        <v>920</v>
      </c>
      <c r="C120" s="4" t="s">
        <v>921</v>
      </c>
      <c r="D120" t="s">
        <v>132</v>
      </c>
      <c r="E120" t="s">
        <v>922</v>
      </c>
      <c r="F120" t="s">
        <v>923</v>
      </c>
      <c r="G120" t="s">
        <v>112</v>
      </c>
      <c r="H120" t="s">
        <v>187</v>
      </c>
      <c r="I120">
        <v>647.25</v>
      </c>
      <c r="J120" s="1">
        <v>45489</v>
      </c>
      <c r="K120" t="s">
        <v>325</v>
      </c>
      <c r="L120" s="2" t="s">
        <v>325</v>
      </c>
    </row>
    <row r="121" spans="1:12">
      <c r="A121">
        <f>ROW()-1</f>
        <v>120</v>
      </c>
      <c r="B121" s="2" t="s">
        <v>841</v>
      </c>
      <c r="C121" s="3" t="s">
        <v>359</v>
      </c>
      <c r="D121" s="2" t="s">
        <v>128</v>
      </c>
      <c r="E121" s="2" t="s">
        <v>43</v>
      </c>
      <c r="F121" s="3" t="s">
        <v>241</v>
      </c>
      <c r="G121" s="2" t="s">
        <v>112</v>
      </c>
      <c r="H121" t="s">
        <v>183</v>
      </c>
      <c r="I121">
        <v>2922</v>
      </c>
      <c r="J121" s="1">
        <v>45196</v>
      </c>
      <c r="K121" t="s">
        <v>326</v>
      </c>
      <c r="L121" s="2" t="s">
        <v>326</v>
      </c>
    </row>
    <row r="122" spans="1:12" ht="28.5">
      <c r="A122">
        <f>ROW()-1</f>
        <v>121</v>
      </c>
      <c r="B122" s="2" t="s">
        <v>842</v>
      </c>
      <c r="C122" s="3" t="s">
        <v>417</v>
      </c>
      <c r="D122" s="2" t="s">
        <v>128</v>
      </c>
      <c r="E122" s="2" t="s">
        <v>44</v>
      </c>
      <c r="F122" s="3" t="s">
        <v>242</v>
      </c>
      <c r="G122" s="2" t="s">
        <v>112</v>
      </c>
      <c r="H122" t="s">
        <v>183</v>
      </c>
      <c r="I122">
        <v>80</v>
      </c>
      <c r="J122" s="1">
        <v>45196</v>
      </c>
      <c r="K122" t="s">
        <v>325</v>
      </c>
      <c r="L122" s="2" t="s">
        <v>326</v>
      </c>
    </row>
  </sheetData>
  <sortState xmlns:xlrd2="http://schemas.microsoft.com/office/spreadsheetml/2017/richdata2" ref="A2:M122">
    <sortCondition descending="1" ref="H1"/>
  </sortState>
  <customSheetViews>
    <customSheetView guid="{2D7AA37D-8C06-47FC-8F44-3FA6E78D04F2}" filter="1" showAutoFilter="1">
      <selection activeCell="B29" sqref="B29"/>
      <pageMargins left="0.7" right="0.7" top="0.75" bottom="0.75" header="0.3" footer="0.3"/>
      <pageSetup orientation="portrait" r:id="rId1"/>
      <autoFilter ref="A1:M111" xr:uid="{1AD375A0-4ECA-41C1-9146-CA16FC691EFC}">
        <filterColumn colId="11">
          <customFilters>
            <customFilter val="*y*"/>
          </customFilters>
        </filterColumn>
      </autoFilter>
    </customSheetView>
    <customSheetView guid="{9C8ADCBA-1E8C-4961-B877-3E192DBDFA7A}" showPageBreaks="1" topLeftCell="A91">
      <selection activeCell="C104" sqref="C104"/>
      <pageMargins left="0.7" right="0.7" top="0.75" bottom="0.75" header="0.3" footer="0.3"/>
      <pageSetup orientation="portrait" r:id="rId2"/>
    </customSheetView>
  </customSheetViews>
  <phoneticPr fontId="1" type="noConversion"/>
  <pageMargins left="0.7" right="0.7" top="0.75" bottom="0.75" header="0.3" footer="0.3"/>
  <pageSetup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N301"/>
  <sheetViews>
    <sheetView workbookViewId="0">
      <selection activeCell="H38" sqref="H38"/>
    </sheetView>
  </sheetViews>
  <sheetFormatPr defaultRowHeight="14.25"/>
  <cols>
    <col min="2" max="2" width="17.73046875" customWidth="1"/>
    <col min="3" max="3" width="12.1328125" customWidth="1"/>
    <col min="5" max="5" width="14.265625" customWidth="1"/>
    <col min="7" max="7" width="13.73046875" customWidth="1"/>
    <col min="8" max="8" width="18.265625" customWidth="1"/>
    <col min="9" max="9" width="5.59765625" customWidth="1"/>
    <col min="10" max="10" width="14.1328125" customWidth="1"/>
    <col min="11" max="11" width="6" customWidth="1"/>
  </cols>
  <sheetData>
    <row r="1" spans="1:14">
      <c r="A1" t="s">
        <v>14</v>
      </c>
      <c r="B1" t="s">
        <v>4</v>
      </c>
      <c r="C1" t="s">
        <v>0</v>
      </c>
      <c r="D1" t="s">
        <v>1</v>
      </c>
      <c r="E1" t="s">
        <v>2</v>
      </c>
      <c r="F1" t="s">
        <v>3</v>
      </c>
      <c r="G1" t="s">
        <v>7</v>
      </c>
      <c r="H1" t="s">
        <v>5</v>
      </c>
      <c r="I1" t="s">
        <v>3</v>
      </c>
      <c r="J1" t="s">
        <v>6</v>
      </c>
      <c r="K1" t="s">
        <v>3</v>
      </c>
      <c r="L1" t="s">
        <v>529</v>
      </c>
      <c r="M1" t="s">
        <v>752</v>
      </c>
      <c r="N1" s="4" t="s">
        <v>319</v>
      </c>
    </row>
    <row r="2" spans="1:14">
      <c r="A2">
        <v>300</v>
      </c>
      <c r="B2" t="s">
        <v>819</v>
      </c>
      <c r="C2" t="s">
        <v>1122</v>
      </c>
      <c r="D2">
        <v>1</v>
      </c>
      <c r="E2" s="1">
        <v>46072</v>
      </c>
      <c r="F2" t="s">
        <v>734</v>
      </c>
      <c r="G2" s="1">
        <v>46650</v>
      </c>
    </row>
    <row r="3" spans="1:14">
      <c r="A3">
        <v>299</v>
      </c>
      <c r="B3" t="s">
        <v>819</v>
      </c>
      <c r="C3" t="s">
        <v>1122</v>
      </c>
      <c r="D3">
        <v>1</v>
      </c>
      <c r="E3" s="1">
        <v>46072</v>
      </c>
      <c r="F3" t="s">
        <v>734</v>
      </c>
      <c r="G3" s="1">
        <v>46650</v>
      </c>
      <c r="L3" t="s">
        <v>1120</v>
      </c>
      <c r="M3">
        <v>5005795</v>
      </c>
      <c r="N3" t="s">
        <v>266</v>
      </c>
    </row>
    <row r="4" spans="1:14">
      <c r="A4">
        <v>298</v>
      </c>
      <c r="B4" t="s">
        <v>820</v>
      </c>
      <c r="C4" t="s">
        <v>1121</v>
      </c>
      <c r="D4">
        <v>1</v>
      </c>
      <c r="E4" s="1">
        <v>46072</v>
      </c>
      <c r="F4" t="s">
        <v>734</v>
      </c>
      <c r="G4" s="1">
        <v>46574</v>
      </c>
    </row>
    <row r="5" spans="1:14">
      <c r="A5">
        <v>297</v>
      </c>
      <c r="B5" t="s">
        <v>820</v>
      </c>
      <c r="C5" t="s">
        <v>1121</v>
      </c>
      <c r="D5">
        <v>1</v>
      </c>
      <c r="E5" s="1">
        <v>46072</v>
      </c>
      <c r="F5" t="s">
        <v>734</v>
      </c>
      <c r="G5" s="1">
        <v>46574</v>
      </c>
      <c r="L5" t="s">
        <v>1120</v>
      </c>
      <c r="M5">
        <v>5005808</v>
      </c>
      <c r="N5" t="s">
        <v>249</v>
      </c>
    </row>
    <row r="6" spans="1:14">
      <c r="A6">
        <v>296</v>
      </c>
      <c r="B6" t="s">
        <v>53</v>
      </c>
      <c r="C6" t="s">
        <v>1119</v>
      </c>
      <c r="D6">
        <v>1</v>
      </c>
      <c r="E6" s="1">
        <v>46072</v>
      </c>
      <c r="F6" t="s">
        <v>734</v>
      </c>
      <c r="G6" s="1">
        <v>46246</v>
      </c>
    </row>
    <row r="7" spans="1:14">
      <c r="A7">
        <v>295</v>
      </c>
      <c r="B7" t="s">
        <v>53</v>
      </c>
      <c r="C7" t="s">
        <v>1119</v>
      </c>
      <c r="D7">
        <v>1</v>
      </c>
      <c r="E7" s="1">
        <v>46072</v>
      </c>
      <c r="F7" t="s">
        <v>734</v>
      </c>
      <c r="G7" s="1">
        <v>46246</v>
      </c>
      <c r="L7" t="s">
        <v>1120</v>
      </c>
      <c r="M7">
        <v>5003463</v>
      </c>
      <c r="N7" t="s">
        <v>248</v>
      </c>
    </row>
    <row r="8" spans="1:14">
      <c r="A8">
        <v>294</v>
      </c>
      <c r="B8" t="s">
        <v>791</v>
      </c>
      <c r="C8" t="s">
        <v>1117</v>
      </c>
      <c r="D8">
        <v>1</v>
      </c>
      <c r="E8" s="1">
        <v>46072</v>
      </c>
      <c r="F8" t="s">
        <v>734</v>
      </c>
      <c r="G8" s="1">
        <v>47340</v>
      </c>
      <c r="L8" t="s">
        <v>1118</v>
      </c>
      <c r="M8">
        <v>6010132</v>
      </c>
      <c r="N8" t="s">
        <v>238</v>
      </c>
    </row>
    <row r="9" spans="1:14">
      <c r="A9">
        <v>293</v>
      </c>
      <c r="B9" t="s">
        <v>466</v>
      </c>
      <c r="C9" t="s">
        <v>1115</v>
      </c>
      <c r="D9">
        <v>1</v>
      </c>
      <c r="E9" s="1">
        <v>46055</v>
      </c>
      <c r="F9" t="s">
        <v>1051</v>
      </c>
      <c r="G9" s="1">
        <v>46722</v>
      </c>
      <c r="L9" t="s">
        <v>1116</v>
      </c>
      <c r="M9">
        <v>5006955</v>
      </c>
      <c r="N9" t="s">
        <v>300</v>
      </c>
    </row>
    <row r="10" spans="1:14">
      <c r="A10">
        <v>292</v>
      </c>
      <c r="B10" t="s">
        <v>829</v>
      </c>
      <c r="C10" t="s">
        <v>1113</v>
      </c>
      <c r="D10">
        <v>1</v>
      </c>
      <c r="E10" s="1">
        <v>46031</v>
      </c>
      <c r="F10" t="s">
        <v>936</v>
      </c>
      <c r="G10" s="1">
        <v>46454</v>
      </c>
      <c r="L10" t="s">
        <v>1114</v>
      </c>
      <c r="M10">
        <v>5006103</v>
      </c>
      <c r="N10" t="s">
        <v>290</v>
      </c>
    </row>
    <row r="11" spans="1:14">
      <c r="A11">
        <v>291</v>
      </c>
      <c r="B11" t="s">
        <v>840</v>
      </c>
      <c r="C11" t="s">
        <v>1111</v>
      </c>
      <c r="D11">
        <v>1</v>
      </c>
      <c r="E11" s="1">
        <v>46043</v>
      </c>
      <c r="F11" t="s">
        <v>734</v>
      </c>
      <c r="G11" s="1">
        <v>46599</v>
      </c>
      <c r="L11" t="s">
        <v>1112</v>
      </c>
      <c r="M11">
        <v>5009029</v>
      </c>
      <c r="N11" t="s">
        <v>301</v>
      </c>
    </row>
    <row r="12" spans="1:14">
      <c r="A12">
        <v>290</v>
      </c>
      <c r="B12" t="s">
        <v>424</v>
      </c>
      <c r="C12" t="s">
        <v>1098</v>
      </c>
      <c r="D12">
        <v>1</v>
      </c>
      <c r="E12" s="1">
        <v>46041</v>
      </c>
      <c r="F12" t="s">
        <v>936</v>
      </c>
      <c r="G12" s="1">
        <v>46406</v>
      </c>
    </row>
    <row r="13" spans="1:14">
      <c r="A13">
        <v>289</v>
      </c>
      <c r="B13" t="s">
        <v>424</v>
      </c>
      <c r="C13" t="s">
        <v>1098</v>
      </c>
      <c r="D13">
        <v>1</v>
      </c>
      <c r="E13" s="1">
        <v>46041</v>
      </c>
      <c r="F13" t="s">
        <v>936</v>
      </c>
      <c r="G13" s="1">
        <v>46406</v>
      </c>
      <c r="H13" s="1">
        <v>46042</v>
      </c>
      <c r="I13" t="s">
        <v>1051</v>
      </c>
      <c r="L13" t="s">
        <v>1110</v>
      </c>
      <c r="M13">
        <v>6010275</v>
      </c>
      <c r="N13">
        <v>20066</v>
      </c>
    </row>
    <row r="14" spans="1:14">
      <c r="A14">
        <v>288</v>
      </c>
      <c r="B14" t="s">
        <v>327</v>
      </c>
      <c r="C14" t="s">
        <v>1109</v>
      </c>
      <c r="D14">
        <v>1</v>
      </c>
      <c r="E14" s="1">
        <v>46041</v>
      </c>
      <c r="F14" t="s">
        <v>936</v>
      </c>
      <c r="G14" s="1">
        <v>46406</v>
      </c>
    </row>
    <row r="15" spans="1:14">
      <c r="A15">
        <v>287</v>
      </c>
      <c r="B15" t="s">
        <v>327</v>
      </c>
      <c r="C15" t="s">
        <v>1109</v>
      </c>
      <c r="D15">
        <v>1</v>
      </c>
      <c r="E15" s="1">
        <v>46041</v>
      </c>
      <c r="F15" t="s">
        <v>936</v>
      </c>
      <c r="G15" s="1">
        <v>46406</v>
      </c>
      <c r="L15" t="s">
        <v>1110</v>
      </c>
      <c r="M15">
        <v>6032171</v>
      </c>
      <c r="N15">
        <v>16168382</v>
      </c>
    </row>
    <row r="16" spans="1:14">
      <c r="A16">
        <v>286</v>
      </c>
      <c r="B16" t="s">
        <v>461</v>
      </c>
      <c r="C16">
        <v>246106</v>
      </c>
      <c r="D16">
        <v>1</v>
      </c>
      <c r="E16" s="1">
        <v>46034</v>
      </c>
      <c r="F16" t="s">
        <v>1105</v>
      </c>
      <c r="G16" s="1">
        <v>46034</v>
      </c>
      <c r="L16" t="s">
        <v>1107</v>
      </c>
      <c r="M16">
        <v>4230436</v>
      </c>
      <c r="N16" t="s">
        <v>256</v>
      </c>
    </row>
    <row r="17" spans="1:14">
      <c r="A17">
        <v>285</v>
      </c>
      <c r="B17" t="s">
        <v>882</v>
      </c>
      <c r="C17">
        <v>253420</v>
      </c>
      <c r="D17">
        <v>1</v>
      </c>
      <c r="E17" s="1">
        <v>46034</v>
      </c>
      <c r="F17" t="s">
        <v>1105</v>
      </c>
      <c r="G17" s="1">
        <v>46034</v>
      </c>
      <c r="L17" t="s">
        <v>1107</v>
      </c>
      <c r="M17">
        <v>6010114</v>
      </c>
      <c r="N17" t="s">
        <v>121</v>
      </c>
    </row>
    <row r="18" spans="1:14">
      <c r="A18">
        <v>284</v>
      </c>
      <c r="B18" t="s">
        <v>887</v>
      </c>
      <c r="C18" t="s">
        <v>1083</v>
      </c>
      <c r="D18">
        <v>1</v>
      </c>
      <c r="E18" s="1">
        <v>46034</v>
      </c>
      <c r="F18" t="s">
        <v>1105</v>
      </c>
      <c r="G18" s="1">
        <v>46034</v>
      </c>
    </row>
    <row r="19" spans="1:14">
      <c r="A19">
        <v>283</v>
      </c>
      <c r="B19" t="s">
        <v>887</v>
      </c>
      <c r="C19" t="s">
        <v>1083</v>
      </c>
      <c r="D19">
        <v>1</v>
      </c>
      <c r="E19" s="1">
        <v>46034</v>
      </c>
      <c r="F19" t="s">
        <v>1105</v>
      </c>
      <c r="G19" s="1">
        <v>46034</v>
      </c>
      <c r="L19" t="s">
        <v>1106</v>
      </c>
      <c r="M19">
        <v>6031067</v>
      </c>
      <c r="N19" t="s">
        <v>891</v>
      </c>
    </row>
    <row r="20" spans="1:14">
      <c r="A20">
        <v>282</v>
      </c>
      <c r="B20" t="s">
        <v>820</v>
      </c>
      <c r="C20" t="s">
        <v>1103</v>
      </c>
      <c r="D20">
        <v>1</v>
      </c>
      <c r="E20" s="1">
        <v>46010</v>
      </c>
      <c r="F20" t="s">
        <v>1051</v>
      </c>
      <c r="G20" s="1">
        <v>46574</v>
      </c>
    </row>
    <row r="21" spans="1:14">
      <c r="A21">
        <v>281</v>
      </c>
      <c r="B21" t="s">
        <v>820</v>
      </c>
      <c r="C21" t="s">
        <v>1103</v>
      </c>
      <c r="D21">
        <v>1</v>
      </c>
      <c r="E21" s="1">
        <v>46010</v>
      </c>
      <c r="F21" t="s">
        <v>1051</v>
      </c>
      <c r="G21" s="1">
        <v>46574</v>
      </c>
      <c r="L21" t="s">
        <v>1104</v>
      </c>
      <c r="M21">
        <v>5005808</v>
      </c>
      <c r="N21" t="s">
        <v>249</v>
      </c>
    </row>
    <row r="22" spans="1:14">
      <c r="A22">
        <v>280</v>
      </c>
      <c r="B22" t="s">
        <v>455</v>
      </c>
      <c r="C22">
        <v>1540284</v>
      </c>
      <c r="D22">
        <v>1</v>
      </c>
      <c r="E22" s="1">
        <v>46008</v>
      </c>
      <c r="F22" t="s">
        <v>1051</v>
      </c>
      <c r="G22" s="1">
        <v>46425</v>
      </c>
    </row>
    <row r="23" spans="1:14">
      <c r="A23">
        <v>279</v>
      </c>
      <c r="B23" t="s">
        <v>455</v>
      </c>
      <c r="C23">
        <v>1540284</v>
      </c>
      <c r="D23">
        <v>1</v>
      </c>
      <c r="E23" s="1">
        <v>46008</v>
      </c>
      <c r="F23" t="s">
        <v>1051</v>
      </c>
      <c r="G23" s="1">
        <v>46425</v>
      </c>
    </row>
    <row r="24" spans="1:14">
      <c r="A24">
        <v>278</v>
      </c>
      <c r="B24" t="s">
        <v>455</v>
      </c>
      <c r="C24">
        <v>1540284</v>
      </c>
      <c r="D24">
        <v>1</v>
      </c>
      <c r="E24" s="1">
        <v>46008</v>
      </c>
      <c r="F24" t="s">
        <v>1051</v>
      </c>
      <c r="G24" s="1">
        <v>46425</v>
      </c>
      <c r="L24" t="s">
        <v>1102</v>
      </c>
      <c r="M24">
        <v>5006622</v>
      </c>
      <c r="N24" t="s">
        <v>231</v>
      </c>
    </row>
    <row r="25" spans="1:14">
      <c r="A25">
        <v>277</v>
      </c>
      <c r="B25" t="s">
        <v>471</v>
      </c>
      <c r="C25" t="s">
        <v>1068</v>
      </c>
      <c r="D25">
        <v>1</v>
      </c>
      <c r="E25" s="1">
        <v>46008</v>
      </c>
      <c r="F25" t="s">
        <v>1051</v>
      </c>
      <c r="G25" s="1">
        <v>47536</v>
      </c>
    </row>
    <row r="26" spans="1:14">
      <c r="A26">
        <v>276</v>
      </c>
      <c r="B26" t="s">
        <v>471</v>
      </c>
      <c r="C26" t="s">
        <v>1068</v>
      </c>
      <c r="D26">
        <v>1</v>
      </c>
      <c r="E26" s="1">
        <v>46008</v>
      </c>
      <c r="F26" t="s">
        <v>1051</v>
      </c>
      <c r="G26" s="1">
        <v>47536</v>
      </c>
      <c r="L26" t="s">
        <v>1101</v>
      </c>
      <c r="M26">
        <v>6032079</v>
      </c>
      <c r="N26">
        <v>6000644</v>
      </c>
    </row>
    <row r="27" spans="1:14">
      <c r="A27">
        <v>275</v>
      </c>
      <c r="B27" t="s">
        <v>315</v>
      </c>
      <c r="C27">
        <v>632</v>
      </c>
      <c r="D27">
        <v>1</v>
      </c>
      <c r="E27" s="1">
        <v>46006</v>
      </c>
      <c r="F27" t="s">
        <v>734</v>
      </c>
      <c r="G27" s="1">
        <v>46568</v>
      </c>
      <c r="L27" t="s">
        <v>1100</v>
      </c>
      <c r="M27">
        <v>5006498</v>
      </c>
      <c r="N27" t="s">
        <v>281</v>
      </c>
    </row>
    <row r="28" spans="1:14">
      <c r="A28">
        <v>274</v>
      </c>
      <c r="B28" t="s">
        <v>483</v>
      </c>
      <c r="C28" t="s">
        <v>1099</v>
      </c>
      <c r="D28">
        <v>1</v>
      </c>
      <c r="E28" s="1">
        <v>46006</v>
      </c>
      <c r="F28" t="s">
        <v>734</v>
      </c>
      <c r="G28" s="1">
        <v>46721</v>
      </c>
      <c r="H28" s="1">
        <v>46028</v>
      </c>
      <c r="I28" t="s">
        <v>995</v>
      </c>
      <c r="L28" t="s">
        <v>1100</v>
      </c>
      <c r="M28">
        <v>5003439</v>
      </c>
      <c r="N28" t="s">
        <v>234</v>
      </c>
    </row>
    <row r="29" spans="1:14">
      <c r="A29">
        <v>273</v>
      </c>
      <c r="B29" t="s">
        <v>424</v>
      </c>
      <c r="C29" t="s">
        <v>1098</v>
      </c>
      <c r="D29">
        <v>1</v>
      </c>
      <c r="E29" s="1">
        <v>46001</v>
      </c>
      <c r="F29" t="s">
        <v>1007</v>
      </c>
      <c r="G29" s="1">
        <v>46366</v>
      </c>
      <c r="H29" s="1">
        <v>46001</v>
      </c>
      <c r="I29" t="s">
        <v>1007</v>
      </c>
      <c r="J29" s="1">
        <v>46031</v>
      </c>
      <c r="K29" t="s">
        <v>1007</v>
      </c>
      <c r="L29" t="s">
        <v>1096</v>
      </c>
      <c r="M29">
        <v>6010275</v>
      </c>
      <c r="N29">
        <v>20066</v>
      </c>
    </row>
    <row r="30" spans="1:14">
      <c r="A30">
        <v>272</v>
      </c>
      <c r="B30" t="s">
        <v>795</v>
      </c>
      <c r="C30" t="s">
        <v>1097</v>
      </c>
      <c r="D30">
        <v>1</v>
      </c>
      <c r="E30" s="1">
        <v>46001</v>
      </c>
      <c r="F30" t="s">
        <v>1007</v>
      </c>
      <c r="G30" s="1">
        <v>46366</v>
      </c>
      <c r="L30" t="s">
        <v>1096</v>
      </c>
      <c r="M30">
        <v>6010225</v>
      </c>
      <c r="N30">
        <v>16170713</v>
      </c>
    </row>
    <row r="31" spans="1:14">
      <c r="A31">
        <v>271</v>
      </c>
      <c r="B31" t="s">
        <v>327</v>
      </c>
      <c r="C31" t="s">
        <v>1095</v>
      </c>
      <c r="D31">
        <v>1</v>
      </c>
      <c r="E31" s="1">
        <v>46001</v>
      </c>
      <c r="F31" t="s">
        <v>995</v>
      </c>
      <c r="G31" s="1">
        <v>46366</v>
      </c>
      <c r="H31" s="1">
        <v>46003</v>
      </c>
      <c r="I31" t="s">
        <v>731</v>
      </c>
      <c r="J31" s="1">
        <v>46042</v>
      </c>
      <c r="K31" t="s">
        <v>1051</v>
      </c>
      <c r="L31" t="s">
        <v>1096</v>
      </c>
      <c r="M31">
        <v>6032171</v>
      </c>
      <c r="N31">
        <v>16168382</v>
      </c>
    </row>
    <row r="32" spans="1:14">
      <c r="A32">
        <v>270</v>
      </c>
      <c r="B32" t="s">
        <v>854</v>
      </c>
      <c r="C32" t="s">
        <v>1093</v>
      </c>
      <c r="D32">
        <v>1</v>
      </c>
      <c r="E32" s="1">
        <v>45981</v>
      </c>
      <c r="F32" t="s">
        <v>995</v>
      </c>
      <c r="G32" s="1">
        <v>46599</v>
      </c>
      <c r="L32">
        <v>558520</v>
      </c>
    </row>
    <row r="33" spans="1:14">
      <c r="A33">
        <v>269</v>
      </c>
      <c r="B33" t="s">
        <v>485</v>
      </c>
      <c r="C33" t="s">
        <v>1092</v>
      </c>
      <c r="D33">
        <v>1</v>
      </c>
      <c r="E33" s="1">
        <v>45981</v>
      </c>
      <c r="F33" t="s">
        <v>995</v>
      </c>
      <c r="G33" s="1">
        <v>46599</v>
      </c>
      <c r="L33">
        <v>558520</v>
      </c>
      <c r="M33">
        <v>6040077</v>
      </c>
      <c r="N33" t="s">
        <v>264</v>
      </c>
    </row>
    <row r="34" spans="1:14">
      <c r="A34">
        <v>268</v>
      </c>
      <c r="B34" t="s">
        <v>1064</v>
      </c>
      <c r="C34" t="s">
        <v>1091</v>
      </c>
      <c r="D34">
        <v>1</v>
      </c>
      <c r="E34" s="1">
        <v>45974</v>
      </c>
      <c r="F34" t="s">
        <v>734</v>
      </c>
      <c r="G34" s="1">
        <v>46506</v>
      </c>
      <c r="H34" s="1">
        <v>46072</v>
      </c>
      <c r="I34" t="s">
        <v>731</v>
      </c>
      <c r="L34" t="s">
        <v>1079</v>
      </c>
      <c r="M34" t="s">
        <v>1070</v>
      </c>
      <c r="N34" t="s">
        <v>1072</v>
      </c>
    </row>
    <row r="35" spans="1:14">
      <c r="A35">
        <v>267</v>
      </c>
      <c r="B35" t="s">
        <v>466</v>
      </c>
      <c r="C35" t="s">
        <v>1089</v>
      </c>
      <c r="D35">
        <v>1</v>
      </c>
      <c r="E35" s="1">
        <v>45978</v>
      </c>
      <c r="F35" t="s">
        <v>734</v>
      </c>
      <c r="G35" s="1">
        <v>46539</v>
      </c>
      <c r="H35" s="1">
        <v>45996</v>
      </c>
      <c r="I35" t="s">
        <v>731</v>
      </c>
      <c r="L35" t="s">
        <v>1090</v>
      </c>
      <c r="M35">
        <v>5006955</v>
      </c>
      <c r="N35" t="s">
        <v>300</v>
      </c>
    </row>
    <row r="36" spans="1:14">
      <c r="A36">
        <v>266</v>
      </c>
      <c r="B36" t="s">
        <v>455</v>
      </c>
      <c r="C36">
        <v>1540284</v>
      </c>
      <c r="D36">
        <v>1</v>
      </c>
      <c r="E36" s="1">
        <v>45978</v>
      </c>
      <c r="F36" t="s">
        <v>734</v>
      </c>
      <c r="G36" s="1">
        <v>46425</v>
      </c>
    </row>
    <row r="37" spans="1:14">
      <c r="A37">
        <v>265</v>
      </c>
      <c r="B37" t="s">
        <v>455</v>
      </c>
      <c r="C37">
        <v>1540284</v>
      </c>
      <c r="D37">
        <v>1</v>
      </c>
      <c r="E37" s="1">
        <v>45978</v>
      </c>
      <c r="F37" t="s">
        <v>734</v>
      </c>
      <c r="G37" s="1">
        <v>46425</v>
      </c>
      <c r="H37" s="1">
        <v>46035</v>
      </c>
      <c r="I37" t="s">
        <v>731</v>
      </c>
      <c r="J37" s="1">
        <v>46035</v>
      </c>
      <c r="K37" t="s">
        <v>731</v>
      </c>
      <c r="L37" t="s">
        <v>1088</v>
      </c>
      <c r="M37">
        <v>5006622</v>
      </c>
      <c r="N37" t="s">
        <v>231</v>
      </c>
    </row>
    <row r="38" spans="1:14">
      <c r="A38">
        <v>264</v>
      </c>
      <c r="B38" t="s">
        <v>424</v>
      </c>
      <c r="C38" t="s">
        <v>1087</v>
      </c>
      <c r="D38">
        <v>1</v>
      </c>
      <c r="E38" s="1">
        <v>45978</v>
      </c>
      <c r="F38" t="s">
        <v>936</v>
      </c>
      <c r="G38" s="1">
        <v>46343</v>
      </c>
      <c r="H38" s="1">
        <v>45978</v>
      </c>
      <c r="I38" t="s">
        <v>1007</v>
      </c>
      <c r="J38" s="1">
        <v>46001</v>
      </c>
      <c r="K38" t="s">
        <v>1007</v>
      </c>
      <c r="L38" t="s">
        <v>1086</v>
      </c>
      <c r="M38">
        <v>6010275</v>
      </c>
      <c r="N38">
        <v>20066</v>
      </c>
    </row>
    <row r="39" spans="1:14">
      <c r="A39">
        <v>263</v>
      </c>
      <c r="B39" t="s">
        <v>327</v>
      </c>
      <c r="C39" t="s">
        <v>1085</v>
      </c>
      <c r="D39">
        <v>1</v>
      </c>
      <c r="E39" s="1">
        <v>45978</v>
      </c>
      <c r="F39" t="s">
        <v>936</v>
      </c>
      <c r="G39" s="1">
        <v>46343</v>
      </c>
      <c r="H39" s="1">
        <v>45978</v>
      </c>
      <c r="I39" t="s">
        <v>731</v>
      </c>
      <c r="J39" s="1">
        <v>46003</v>
      </c>
      <c r="K39" t="s">
        <v>731</v>
      </c>
      <c r="L39" t="s">
        <v>1086</v>
      </c>
      <c r="M39">
        <v>6032171</v>
      </c>
      <c r="N39">
        <v>16168382</v>
      </c>
    </row>
    <row r="40" spans="1:14">
      <c r="A40">
        <v>262</v>
      </c>
      <c r="B40" t="s">
        <v>887</v>
      </c>
      <c r="C40" t="s">
        <v>1083</v>
      </c>
      <c r="D40">
        <v>1</v>
      </c>
      <c r="E40" s="1">
        <v>45978</v>
      </c>
      <c r="F40" t="s">
        <v>1051</v>
      </c>
      <c r="G40" s="1">
        <v>46356</v>
      </c>
      <c r="H40" s="1">
        <v>45995</v>
      </c>
      <c r="I40" t="s">
        <v>1094</v>
      </c>
    </row>
    <row r="41" spans="1:14">
      <c r="A41">
        <v>261</v>
      </c>
      <c r="B41" t="s">
        <v>887</v>
      </c>
      <c r="C41" t="s">
        <v>1083</v>
      </c>
      <c r="D41">
        <v>1</v>
      </c>
      <c r="E41" s="1">
        <v>45978</v>
      </c>
      <c r="F41" t="s">
        <v>1051</v>
      </c>
      <c r="G41" s="1">
        <v>46356</v>
      </c>
      <c r="H41" s="1">
        <v>45980</v>
      </c>
      <c r="I41" t="s">
        <v>999</v>
      </c>
      <c r="J41" s="1">
        <v>45995</v>
      </c>
      <c r="K41" t="s">
        <v>1094</v>
      </c>
      <c r="L41" t="s">
        <v>1084</v>
      </c>
      <c r="M41">
        <v>6031067</v>
      </c>
      <c r="N41" t="s">
        <v>891</v>
      </c>
    </row>
    <row r="42" spans="1:14">
      <c r="A42">
        <v>260</v>
      </c>
      <c r="B42" t="s">
        <v>461</v>
      </c>
      <c r="C42">
        <v>246106</v>
      </c>
      <c r="D42">
        <v>1</v>
      </c>
      <c r="E42" s="1">
        <v>45974</v>
      </c>
      <c r="F42" t="s">
        <v>1051</v>
      </c>
      <c r="G42" s="1">
        <v>46704</v>
      </c>
      <c r="L42" t="s">
        <v>1082</v>
      </c>
      <c r="M42">
        <v>4230436</v>
      </c>
      <c r="N42" t="s">
        <v>256</v>
      </c>
    </row>
    <row r="43" spans="1:14">
      <c r="A43">
        <v>259</v>
      </c>
      <c r="B43" t="s">
        <v>471</v>
      </c>
      <c r="C43" t="s">
        <v>1068</v>
      </c>
      <c r="D43">
        <v>1</v>
      </c>
      <c r="E43" s="1">
        <v>45974</v>
      </c>
      <c r="F43" t="s">
        <v>1051</v>
      </c>
      <c r="G43" s="1">
        <v>47536</v>
      </c>
    </row>
    <row r="44" spans="1:14">
      <c r="A44">
        <v>258</v>
      </c>
      <c r="B44" t="s">
        <v>471</v>
      </c>
      <c r="C44" t="s">
        <v>1068</v>
      </c>
      <c r="D44">
        <v>1</v>
      </c>
      <c r="E44" s="1">
        <v>45974</v>
      </c>
      <c r="F44" t="s">
        <v>1051</v>
      </c>
      <c r="G44" s="1">
        <v>47536</v>
      </c>
    </row>
    <row r="45" spans="1:14">
      <c r="A45">
        <v>257</v>
      </c>
      <c r="B45" t="s">
        <v>471</v>
      </c>
      <c r="C45" t="s">
        <v>1068</v>
      </c>
      <c r="D45">
        <v>1</v>
      </c>
      <c r="E45" s="1">
        <v>45974</v>
      </c>
      <c r="F45" t="s">
        <v>1051</v>
      </c>
      <c r="G45" s="1">
        <v>47536</v>
      </c>
    </row>
    <row r="46" spans="1:14">
      <c r="A46">
        <v>256</v>
      </c>
      <c r="B46" t="s">
        <v>471</v>
      </c>
      <c r="C46" t="s">
        <v>1068</v>
      </c>
      <c r="D46">
        <v>1</v>
      </c>
      <c r="E46" s="1">
        <v>45974</v>
      </c>
      <c r="F46" t="s">
        <v>1051</v>
      </c>
      <c r="G46" s="1">
        <v>47536</v>
      </c>
    </row>
    <row r="47" spans="1:14">
      <c r="A47">
        <v>255</v>
      </c>
      <c r="B47" t="s">
        <v>471</v>
      </c>
      <c r="C47" t="s">
        <v>1068</v>
      </c>
      <c r="D47">
        <v>1</v>
      </c>
      <c r="E47" s="1">
        <v>45974</v>
      </c>
      <c r="F47" t="s">
        <v>1051</v>
      </c>
      <c r="G47" s="1">
        <v>47536</v>
      </c>
      <c r="H47" s="1">
        <v>45994</v>
      </c>
      <c r="I47" t="s">
        <v>1094</v>
      </c>
      <c r="J47" s="1">
        <v>46008</v>
      </c>
      <c r="K47" t="s">
        <v>1094</v>
      </c>
      <c r="L47" t="s">
        <v>1082</v>
      </c>
      <c r="M47">
        <v>6032079</v>
      </c>
      <c r="N47">
        <v>6000644</v>
      </c>
    </row>
    <row r="48" spans="1:14">
      <c r="A48">
        <v>254</v>
      </c>
      <c r="B48" t="s">
        <v>427</v>
      </c>
      <c r="C48">
        <v>91725</v>
      </c>
      <c r="D48">
        <v>1</v>
      </c>
      <c r="E48" s="1">
        <v>45958</v>
      </c>
      <c r="F48" t="s">
        <v>1051</v>
      </c>
      <c r="G48" s="1">
        <v>46688</v>
      </c>
      <c r="L48" t="s">
        <v>1081</v>
      </c>
      <c r="M48">
        <v>6010137</v>
      </c>
      <c r="N48" t="s">
        <v>429</v>
      </c>
    </row>
    <row r="49" spans="1:14">
      <c r="A49">
        <v>253</v>
      </c>
      <c r="B49" t="s">
        <v>831</v>
      </c>
      <c r="C49" t="s">
        <v>1078</v>
      </c>
      <c r="D49">
        <v>1</v>
      </c>
      <c r="E49" s="1">
        <v>45952</v>
      </c>
      <c r="F49" t="s">
        <v>1051</v>
      </c>
      <c r="G49" s="1">
        <v>46554</v>
      </c>
      <c r="L49" t="s">
        <v>1079</v>
      </c>
      <c r="M49">
        <v>5007923</v>
      </c>
      <c r="N49" t="s">
        <v>265</v>
      </c>
    </row>
    <row r="50" spans="1:14">
      <c r="A50">
        <v>252</v>
      </c>
      <c r="B50" t="s">
        <v>424</v>
      </c>
      <c r="C50" t="s">
        <v>1077</v>
      </c>
      <c r="D50">
        <v>1</v>
      </c>
      <c r="E50" s="1">
        <v>45947</v>
      </c>
      <c r="F50" t="s">
        <v>1007</v>
      </c>
      <c r="G50" s="1">
        <v>46312</v>
      </c>
      <c r="H50" s="1">
        <v>45947</v>
      </c>
      <c r="I50" t="s">
        <v>1007</v>
      </c>
      <c r="J50" s="1">
        <v>45978</v>
      </c>
      <c r="K50" t="s">
        <v>993</v>
      </c>
      <c r="L50" t="s">
        <v>1076</v>
      </c>
      <c r="M50">
        <v>6010275</v>
      </c>
      <c r="N50">
        <v>20066</v>
      </c>
    </row>
    <row r="51" spans="1:14">
      <c r="A51">
        <v>251</v>
      </c>
      <c r="B51" t="s">
        <v>327</v>
      </c>
      <c r="C51" t="s">
        <v>1075</v>
      </c>
      <c r="D51">
        <v>1</v>
      </c>
      <c r="E51" s="1">
        <v>45939</v>
      </c>
      <c r="F51" t="s">
        <v>992</v>
      </c>
      <c r="G51" s="1">
        <v>46304</v>
      </c>
      <c r="H51" s="1">
        <v>45952</v>
      </c>
      <c r="I51" t="s">
        <v>1080</v>
      </c>
      <c r="J51" s="1">
        <v>45978</v>
      </c>
      <c r="K51" t="s">
        <v>731</v>
      </c>
      <c r="L51" t="s">
        <v>1076</v>
      </c>
      <c r="M51">
        <v>6032171</v>
      </c>
      <c r="N51">
        <v>16168382</v>
      </c>
    </row>
    <row r="52" spans="1:14">
      <c r="A52">
        <v>250</v>
      </c>
      <c r="B52" t="s">
        <v>330</v>
      </c>
      <c r="C52" t="s">
        <v>1074</v>
      </c>
      <c r="D52">
        <v>1</v>
      </c>
      <c r="E52" s="1">
        <v>45945</v>
      </c>
      <c r="F52" t="s">
        <v>995</v>
      </c>
      <c r="G52" s="1">
        <v>46574</v>
      </c>
      <c r="M52">
        <v>5006077</v>
      </c>
      <c r="N52" t="s">
        <v>250</v>
      </c>
    </row>
    <row r="53" spans="1:14">
      <c r="A53">
        <v>249</v>
      </c>
      <c r="B53" t="s">
        <v>489</v>
      </c>
      <c r="C53" t="s">
        <v>1069</v>
      </c>
      <c r="D53">
        <v>1</v>
      </c>
      <c r="E53" s="1">
        <v>45938</v>
      </c>
      <c r="F53" t="s">
        <v>1035</v>
      </c>
      <c r="G53" s="1">
        <v>46295</v>
      </c>
      <c r="H53" s="1">
        <v>45964</v>
      </c>
      <c r="I53" t="s">
        <v>979</v>
      </c>
      <c r="L53" t="s">
        <v>1059</v>
      </c>
      <c r="M53">
        <v>6006536</v>
      </c>
      <c r="N53">
        <v>361046247</v>
      </c>
    </row>
    <row r="54" spans="1:14">
      <c r="A54">
        <v>249</v>
      </c>
      <c r="B54" t="s">
        <v>486</v>
      </c>
      <c r="C54" t="s">
        <v>1073</v>
      </c>
      <c r="D54">
        <v>1</v>
      </c>
      <c r="E54" s="1">
        <v>45944</v>
      </c>
      <c r="F54" t="s">
        <v>995</v>
      </c>
      <c r="G54" s="1">
        <v>46599</v>
      </c>
      <c r="M54">
        <v>6040050</v>
      </c>
      <c r="N54" t="s">
        <v>291</v>
      </c>
    </row>
    <row r="55" spans="1:14">
      <c r="A55">
        <v>248</v>
      </c>
      <c r="B55" t="s">
        <v>455</v>
      </c>
      <c r="C55">
        <v>1540284</v>
      </c>
      <c r="D55">
        <v>1</v>
      </c>
      <c r="E55" s="1">
        <v>45937</v>
      </c>
      <c r="F55" t="s">
        <v>995</v>
      </c>
      <c r="G55" s="1">
        <v>46425</v>
      </c>
      <c r="H55" s="1">
        <v>45978</v>
      </c>
      <c r="I55" t="s">
        <v>731</v>
      </c>
      <c r="J55" s="1">
        <v>45978</v>
      </c>
      <c r="K55" t="s">
        <v>731</v>
      </c>
    </row>
    <row r="56" spans="1:14">
      <c r="A56">
        <v>247</v>
      </c>
      <c r="B56" t="s">
        <v>455</v>
      </c>
      <c r="C56">
        <v>1540284</v>
      </c>
      <c r="D56">
        <v>1</v>
      </c>
      <c r="E56" s="1">
        <v>45937</v>
      </c>
      <c r="F56" t="s">
        <v>995</v>
      </c>
      <c r="G56" s="1">
        <v>46425</v>
      </c>
      <c r="H56" s="1">
        <v>45956</v>
      </c>
      <c r="I56" t="s">
        <v>734</v>
      </c>
      <c r="J56" s="1">
        <v>45956</v>
      </c>
      <c r="K56" t="s">
        <v>734</v>
      </c>
      <c r="M56">
        <v>5006622</v>
      </c>
      <c r="N56" t="s">
        <v>231</v>
      </c>
    </row>
    <row r="57" spans="1:14">
      <c r="A57">
        <v>246</v>
      </c>
      <c r="B57" t="s">
        <v>887</v>
      </c>
      <c r="C57" t="s">
        <v>1053</v>
      </c>
      <c r="D57">
        <v>1</v>
      </c>
      <c r="E57" s="1">
        <v>45937</v>
      </c>
      <c r="F57" t="s">
        <v>995</v>
      </c>
      <c r="G57" s="1">
        <v>46234</v>
      </c>
      <c r="H57" s="1">
        <v>45940</v>
      </c>
      <c r="I57" t="s">
        <v>995</v>
      </c>
      <c r="J57" s="1">
        <v>45980</v>
      </c>
      <c r="K57" t="s">
        <v>999</v>
      </c>
      <c r="M57">
        <v>6031067</v>
      </c>
      <c r="N57" t="s">
        <v>891</v>
      </c>
    </row>
    <row r="58" spans="1:14">
      <c r="A58">
        <v>245</v>
      </c>
      <c r="B58" t="s">
        <v>471</v>
      </c>
      <c r="C58" t="s">
        <v>1068</v>
      </c>
      <c r="D58">
        <v>1</v>
      </c>
      <c r="E58" s="1">
        <v>45937</v>
      </c>
      <c r="F58" t="s">
        <v>995</v>
      </c>
      <c r="G58" s="1">
        <v>47536</v>
      </c>
      <c r="H58" s="1">
        <v>46029</v>
      </c>
      <c r="I58" t="s">
        <v>1094</v>
      </c>
    </row>
    <row r="59" spans="1:14">
      <c r="A59">
        <v>244</v>
      </c>
      <c r="B59" t="s">
        <v>471</v>
      </c>
      <c r="C59" t="s">
        <v>1068</v>
      </c>
      <c r="D59">
        <v>1</v>
      </c>
      <c r="E59" s="1">
        <v>45937</v>
      </c>
      <c r="F59" t="s">
        <v>995</v>
      </c>
      <c r="G59" s="1">
        <v>47536</v>
      </c>
      <c r="H59" s="1">
        <v>46028</v>
      </c>
      <c r="I59" t="s">
        <v>993</v>
      </c>
    </row>
    <row r="60" spans="1:14">
      <c r="A60">
        <v>243</v>
      </c>
      <c r="B60" t="s">
        <v>471</v>
      </c>
      <c r="C60" t="s">
        <v>1068</v>
      </c>
      <c r="D60">
        <v>1</v>
      </c>
      <c r="E60" s="1">
        <v>45937</v>
      </c>
      <c r="F60" t="s">
        <v>995</v>
      </c>
      <c r="G60" s="1">
        <v>47536</v>
      </c>
      <c r="H60" s="1">
        <v>45953</v>
      </c>
      <c r="I60" t="s">
        <v>731</v>
      </c>
      <c r="J60" s="1">
        <v>45973</v>
      </c>
      <c r="K60" t="s">
        <v>731</v>
      </c>
      <c r="M60">
        <v>6032079</v>
      </c>
      <c r="N60">
        <v>6000644</v>
      </c>
    </row>
    <row r="61" spans="1:14">
      <c r="A61">
        <v>242</v>
      </c>
      <c r="B61" t="s">
        <v>483</v>
      </c>
      <c r="C61" t="s">
        <v>1066</v>
      </c>
      <c r="D61">
        <v>1</v>
      </c>
      <c r="E61" s="1">
        <v>45924</v>
      </c>
      <c r="F61" t="s">
        <v>734</v>
      </c>
      <c r="G61" s="1">
        <v>46660</v>
      </c>
      <c r="H61" s="1">
        <v>45944</v>
      </c>
      <c r="I61" t="s">
        <v>995</v>
      </c>
      <c r="J61" s="1">
        <v>46028</v>
      </c>
      <c r="K61" t="s">
        <v>995</v>
      </c>
      <c r="L61" t="s">
        <v>1067</v>
      </c>
      <c r="M61">
        <v>5003439</v>
      </c>
      <c r="N61" t="s">
        <v>234</v>
      </c>
    </row>
    <row r="62" spans="1:14">
      <c r="A62">
        <v>240</v>
      </c>
      <c r="B62" t="s">
        <v>821</v>
      </c>
      <c r="C62">
        <v>45070472</v>
      </c>
      <c r="D62">
        <v>1</v>
      </c>
      <c r="E62" s="1">
        <v>45918</v>
      </c>
      <c r="F62" t="s">
        <v>1051</v>
      </c>
      <c r="G62" s="1">
        <v>46599</v>
      </c>
    </row>
    <row r="63" spans="1:14">
      <c r="A63">
        <v>239</v>
      </c>
      <c r="B63" t="s">
        <v>821</v>
      </c>
      <c r="C63">
        <v>45070472</v>
      </c>
      <c r="D63">
        <v>1</v>
      </c>
      <c r="E63" s="1">
        <v>45918</v>
      </c>
      <c r="F63" t="s">
        <v>1051</v>
      </c>
      <c r="G63" s="1">
        <v>46599</v>
      </c>
      <c r="L63" t="s">
        <v>1063</v>
      </c>
      <c r="M63">
        <v>5006462</v>
      </c>
      <c r="N63" t="s">
        <v>745</v>
      </c>
    </row>
    <row r="64" spans="1:14">
      <c r="A64">
        <v>238</v>
      </c>
      <c r="B64" t="s">
        <v>830</v>
      </c>
      <c r="C64" t="s">
        <v>1062</v>
      </c>
      <c r="D64">
        <v>1</v>
      </c>
      <c r="E64" s="1">
        <v>45909</v>
      </c>
      <c r="F64" t="s">
        <v>1051</v>
      </c>
      <c r="G64" s="1">
        <v>46610</v>
      </c>
      <c r="L64" t="s">
        <v>1061</v>
      </c>
      <c r="M64">
        <v>5007922</v>
      </c>
      <c r="N64" t="s">
        <v>272</v>
      </c>
    </row>
    <row r="65" spans="1:14">
      <c r="A65">
        <v>237</v>
      </c>
      <c r="B65" t="s">
        <v>330</v>
      </c>
      <c r="C65" t="s">
        <v>1060</v>
      </c>
      <c r="D65">
        <v>1</v>
      </c>
      <c r="E65" s="1">
        <v>45909</v>
      </c>
      <c r="F65" t="s">
        <v>1051</v>
      </c>
      <c r="G65" s="1">
        <v>46471</v>
      </c>
      <c r="L65" t="s">
        <v>1061</v>
      </c>
      <c r="M65">
        <v>5006077</v>
      </c>
      <c r="N65" t="s">
        <v>250</v>
      </c>
    </row>
    <row r="66" spans="1:14">
      <c r="A66">
        <v>236</v>
      </c>
      <c r="B66" t="s">
        <v>461</v>
      </c>
      <c r="C66">
        <v>246106</v>
      </c>
      <c r="D66">
        <v>1</v>
      </c>
      <c r="E66" s="1">
        <v>45909</v>
      </c>
      <c r="F66" t="s">
        <v>1051</v>
      </c>
      <c r="G66" s="1">
        <v>46274</v>
      </c>
      <c r="H66" s="1">
        <v>45736</v>
      </c>
      <c r="I66" t="s">
        <v>999</v>
      </c>
      <c r="L66" t="s">
        <v>1059</v>
      </c>
      <c r="M66">
        <v>4230436</v>
      </c>
      <c r="N66" t="s">
        <v>256</v>
      </c>
    </row>
    <row r="67" spans="1:14">
      <c r="A67">
        <v>235</v>
      </c>
      <c r="B67" t="s">
        <v>471</v>
      </c>
      <c r="C67" t="s">
        <v>1036</v>
      </c>
      <c r="D67">
        <v>1</v>
      </c>
      <c r="E67" s="1">
        <v>45909</v>
      </c>
      <c r="F67" t="s">
        <v>1051</v>
      </c>
      <c r="G67" s="1">
        <v>47506</v>
      </c>
      <c r="H67" s="1">
        <v>46008</v>
      </c>
      <c r="I67" t="s">
        <v>1094</v>
      </c>
      <c r="J67" s="1">
        <v>46024</v>
      </c>
      <c r="K67" t="s">
        <v>1094</v>
      </c>
    </row>
    <row r="68" spans="1:14">
      <c r="A68">
        <v>234</v>
      </c>
      <c r="B68" t="s">
        <v>471</v>
      </c>
      <c r="C68" t="s">
        <v>1036</v>
      </c>
      <c r="D68">
        <v>1</v>
      </c>
      <c r="E68" s="1">
        <v>45909</v>
      </c>
      <c r="F68" t="s">
        <v>1051</v>
      </c>
      <c r="G68" s="1">
        <v>47506</v>
      </c>
      <c r="H68" s="1">
        <v>45946</v>
      </c>
      <c r="I68" t="s">
        <v>1094</v>
      </c>
      <c r="J68" s="1">
        <v>45953</v>
      </c>
      <c r="K68" t="s">
        <v>1094</v>
      </c>
    </row>
    <row r="69" spans="1:14">
      <c r="A69">
        <v>233</v>
      </c>
      <c r="B69" t="s">
        <v>471</v>
      </c>
      <c r="C69" t="s">
        <v>1036</v>
      </c>
      <c r="D69">
        <v>1</v>
      </c>
      <c r="E69" s="1">
        <v>45909</v>
      </c>
      <c r="F69" t="s">
        <v>1051</v>
      </c>
      <c r="G69" s="1">
        <v>47506</v>
      </c>
      <c r="H69" s="1">
        <v>45943</v>
      </c>
      <c r="I69" t="s">
        <v>1094</v>
      </c>
      <c r="J69" s="1">
        <v>45946</v>
      </c>
      <c r="K69" t="s">
        <v>1094</v>
      </c>
      <c r="L69" t="s">
        <v>1059</v>
      </c>
      <c r="M69">
        <v>6032079</v>
      </c>
      <c r="N69">
        <v>6000644</v>
      </c>
    </row>
    <row r="70" spans="1:14">
      <c r="A70">
        <v>232</v>
      </c>
      <c r="B70" t="s">
        <v>795</v>
      </c>
      <c r="C70" t="s">
        <v>1058</v>
      </c>
      <c r="D70">
        <v>1</v>
      </c>
      <c r="E70" s="1">
        <v>45908</v>
      </c>
      <c r="F70" t="s">
        <v>979</v>
      </c>
      <c r="G70" s="1">
        <v>46273</v>
      </c>
      <c r="H70" s="1">
        <v>45964</v>
      </c>
      <c r="I70" t="s">
        <v>731</v>
      </c>
      <c r="L70" t="s">
        <v>1056</v>
      </c>
      <c r="M70">
        <v>6010225</v>
      </c>
      <c r="N70">
        <v>16170713</v>
      </c>
    </row>
    <row r="71" spans="1:14">
      <c r="A71">
        <v>231</v>
      </c>
      <c r="B71" t="s">
        <v>424</v>
      </c>
      <c r="C71" t="s">
        <v>1033</v>
      </c>
      <c r="D71">
        <v>1</v>
      </c>
      <c r="E71" s="1">
        <v>45908</v>
      </c>
      <c r="F71" t="s">
        <v>979</v>
      </c>
      <c r="G71" s="1">
        <v>46295</v>
      </c>
      <c r="H71" s="1">
        <v>45910</v>
      </c>
      <c r="I71" t="s">
        <v>732</v>
      </c>
      <c r="J71" s="1">
        <v>45947</v>
      </c>
      <c r="K71" t="s">
        <v>1007</v>
      </c>
      <c r="L71" t="s">
        <v>1057</v>
      </c>
      <c r="M71">
        <v>6010275</v>
      </c>
      <c r="N71">
        <v>20066</v>
      </c>
    </row>
    <row r="72" spans="1:14">
      <c r="A72">
        <v>230</v>
      </c>
      <c r="B72" t="s">
        <v>327</v>
      </c>
      <c r="C72" t="s">
        <v>1055</v>
      </c>
      <c r="D72">
        <v>1</v>
      </c>
      <c r="E72" s="1">
        <v>45888</v>
      </c>
      <c r="F72" t="s">
        <v>1007</v>
      </c>
      <c r="G72" s="1">
        <v>46253</v>
      </c>
      <c r="H72" s="1">
        <v>45903</v>
      </c>
      <c r="I72" t="s">
        <v>992</v>
      </c>
      <c r="J72" s="1">
        <v>45937</v>
      </c>
      <c r="K72" t="s">
        <v>1007</v>
      </c>
      <c r="L72" t="s">
        <v>1046</v>
      </c>
      <c r="M72">
        <v>6032171</v>
      </c>
      <c r="N72">
        <v>16168382</v>
      </c>
    </row>
    <row r="73" spans="1:14">
      <c r="A73">
        <v>229</v>
      </c>
      <c r="B73" t="s">
        <v>455</v>
      </c>
      <c r="C73">
        <v>1460682</v>
      </c>
      <c r="D73">
        <v>1</v>
      </c>
      <c r="E73" s="1">
        <v>45887</v>
      </c>
      <c r="F73" t="s">
        <v>1051</v>
      </c>
      <c r="G73" s="1">
        <v>46425</v>
      </c>
      <c r="H73" s="1">
        <v>45926</v>
      </c>
      <c r="I73" t="s">
        <v>731</v>
      </c>
      <c r="J73" s="1">
        <v>45926</v>
      </c>
      <c r="K73" t="s">
        <v>731</v>
      </c>
      <c r="L73" t="s">
        <v>1054</v>
      </c>
      <c r="M73">
        <v>5006622</v>
      </c>
      <c r="N73" t="s">
        <v>231</v>
      </c>
    </row>
    <row r="74" spans="1:14">
      <c r="A74">
        <v>228</v>
      </c>
      <c r="B74" t="s">
        <v>455</v>
      </c>
      <c r="C74">
        <v>1540284</v>
      </c>
      <c r="D74">
        <v>1</v>
      </c>
      <c r="E74" s="1">
        <v>45887</v>
      </c>
      <c r="F74" t="s">
        <v>1051</v>
      </c>
      <c r="G74" s="1">
        <v>46425</v>
      </c>
      <c r="H74" s="1">
        <v>45890</v>
      </c>
      <c r="I74" t="s">
        <v>731</v>
      </c>
      <c r="J74" s="1">
        <v>45890</v>
      </c>
      <c r="K74" t="s">
        <v>731</v>
      </c>
      <c r="L74" t="s">
        <v>1054</v>
      </c>
      <c r="M74">
        <v>5006622</v>
      </c>
      <c r="N74" t="s">
        <v>231</v>
      </c>
    </row>
    <row r="75" spans="1:14">
      <c r="A75">
        <v>227</v>
      </c>
      <c r="B75" t="s">
        <v>882</v>
      </c>
      <c r="C75">
        <v>251428</v>
      </c>
      <c r="D75">
        <v>1</v>
      </c>
      <c r="E75" s="1">
        <v>45880</v>
      </c>
      <c r="F75" t="s">
        <v>1051</v>
      </c>
      <c r="G75" s="1">
        <v>46246</v>
      </c>
      <c r="H75" s="1">
        <v>45933</v>
      </c>
      <c r="I75" t="s">
        <v>731</v>
      </c>
      <c r="L75" t="s">
        <v>1052</v>
      </c>
      <c r="M75">
        <v>6010114</v>
      </c>
      <c r="N75" t="s">
        <v>121</v>
      </c>
    </row>
    <row r="76" spans="1:14">
      <c r="A76">
        <v>226</v>
      </c>
      <c r="B76" t="s">
        <v>471</v>
      </c>
      <c r="C76" t="s">
        <v>1036</v>
      </c>
      <c r="D76">
        <v>1</v>
      </c>
      <c r="E76" s="1">
        <v>45880</v>
      </c>
      <c r="F76" t="s">
        <v>1051</v>
      </c>
      <c r="G76" s="1">
        <v>47506</v>
      </c>
      <c r="H76" s="1">
        <v>45939</v>
      </c>
      <c r="I76" t="s">
        <v>1094</v>
      </c>
      <c r="J76" s="1">
        <v>45943</v>
      </c>
      <c r="K76" t="s">
        <v>1094</v>
      </c>
    </row>
    <row r="77" spans="1:14">
      <c r="A77">
        <v>225</v>
      </c>
      <c r="B77" t="s">
        <v>471</v>
      </c>
      <c r="C77" t="s">
        <v>1036</v>
      </c>
      <c r="D77">
        <v>1</v>
      </c>
      <c r="E77" s="1">
        <v>45880</v>
      </c>
      <c r="F77" t="s">
        <v>1051</v>
      </c>
      <c r="G77" s="1">
        <v>47506</v>
      </c>
      <c r="H77" s="1">
        <v>45936</v>
      </c>
      <c r="I77" t="s">
        <v>731</v>
      </c>
      <c r="J77" s="1">
        <v>45939</v>
      </c>
      <c r="K77" t="s">
        <v>731</v>
      </c>
    </row>
    <row r="78" spans="1:14">
      <c r="A78">
        <v>224</v>
      </c>
      <c r="B78" t="s">
        <v>471</v>
      </c>
      <c r="C78" t="s">
        <v>1036</v>
      </c>
      <c r="D78">
        <v>1</v>
      </c>
      <c r="E78" s="1">
        <v>45880</v>
      </c>
      <c r="F78" t="s">
        <v>1051</v>
      </c>
      <c r="G78" s="1">
        <v>47506</v>
      </c>
      <c r="H78" s="1">
        <v>45933</v>
      </c>
      <c r="I78" t="s">
        <v>731</v>
      </c>
      <c r="J78" s="1">
        <v>45936</v>
      </c>
      <c r="K78" t="s">
        <v>1094</v>
      </c>
    </row>
    <row r="79" spans="1:14">
      <c r="A79">
        <v>223</v>
      </c>
      <c r="B79" t="s">
        <v>471</v>
      </c>
      <c r="C79" t="s">
        <v>1036</v>
      </c>
      <c r="D79">
        <v>1</v>
      </c>
      <c r="E79" s="1">
        <v>45880</v>
      </c>
      <c r="F79" t="s">
        <v>1051</v>
      </c>
      <c r="G79" s="1">
        <v>47506</v>
      </c>
      <c r="H79" s="1">
        <v>45903</v>
      </c>
      <c r="I79" t="s">
        <v>734</v>
      </c>
      <c r="J79" s="1">
        <v>45933</v>
      </c>
      <c r="K79" t="s">
        <v>731</v>
      </c>
      <c r="L79" t="s">
        <v>1052</v>
      </c>
      <c r="M79">
        <v>6032079</v>
      </c>
      <c r="N79">
        <v>6000644</v>
      </c>
    </row>
    <row r="80" spans="1:14">
      <c r="A80">
        <v>222</v>
      </c>
      <c r="B80" t="s">
        <v>887</v>
      </c>
      <c r="C80" t="s">
        <v>1053</v>
      </c>
      <c r="D80">
        <v>1</v>
      </c>
      <c r="E80" s="1">
        <v>45880</v>
      </c>
      <c r="F80" t="s">
        <v>1051</v>
      </c>
      <c r="G80" s="1">
        <v>46234</v>
      </c>
      <c r="H80" s="1">
        <v>45919</v>
      </c>
      <c r="I80" t="s">
        <v>995</v>
      </c>
      <c r="J80" s="1">
        <v>45940</v>
      </c>
      <c r="K80" t="s">
        <v>995</v>
      </c>
      <c r="L80" t="s">
        <v>1052</v>
      </c>
      <c r="M80">
        <v>6031067</v>
      </c>
      <c r="N80" t="s">
        <v>891</v>
      </c>
    </row>
    <row r="81" spans="1:14">
      <c r="A81">
        <v>221</v>
      </c>
      <c r="B81" t="s">
        <v>887</v>
      </c>
      <c r="C81" t="s">
        <v>1050</v>
      </c>
      <c r="D81">
        <v>1</v>
      </c>
      <c r="E81" s="1">
        <v>45880</v>
      </c>
      <c r="F81" t="s">
        <v>1051</v>
      </c>
      <c r="G81" s="1">
        <v>46112</v>
      </c>
      <c r="H81" s="1">
        <v>45884</v>
      </c>
      <c r="I81" t="s">
        <v>1035</v>
      </c>
      <c r="J81" s="1">
        <v>45919</v>
      </c>
      <c r="K81" t="s">
        <v>995</v>
      </c>
      <c r="L81" t="s">
        <v>1052</v>
      </c>
      <c r="M81">
        <v>6031067</v>
      </c>
      <c r="N81" t="s">
        <v>891</v>
      </c>
    </row>
    <row r="82" spans="1:14">
      <c r="A82">
        <v>220</v>
      </c>
      <c r="B82" t="s">
        <v>819</v>
      </c>
      <c r="C82" t="s">
        <v>1049</v>
      </c>
      <c r="D82">
        <v>1</v>
      </c>
      <c r="E82" s="1">
        <v>45874</v>
      </c>
      <c r="F82" t="s">
        <v>734</v>
      </c>
      <c r="G82" s="1">
        <v>46408</v>
      </c>
    </row>
    <row r="83" spans="1:14">
      <c r="A83">
        <v>219</v>
      </c>
      <c r="B83" t="s">
        <v>819</v>
      </c>
      <c r="C83" t="s">
        <v>1049</v>
      </c>
      <c r="D83">
        <v>1</v>
      </c>
      <c r="E83" s="1">
        <v>45874</v>
      </c>
      <c r="F83" t="s">
        <v>734</v>
      </c>
      <c r="G83" s="1">
        <v>46408</v>
      </c>
      <c r="H83" s="1">
        <v>46014</v>
      </c>
      <c r="I83" t="s">
        <v>731</v>
      </c>
      <c r="L83" t="s">
        <v>1048</v>
      </c>
      <c r="M83">
        <v>5005795</v>
      </c>
      <c r="N83" t="s">
        <v>266</v>
      </c>
    </row>
    <row r="84" spans="1:14">
      <c r="A84">
        <v>218</v>
      </c>
      <c r="B84" t="s">
        <v>820</v>
      </c>
      <c r="C84" t="s">
        <v>1047</v>
      </c>
      <c r="D84">
        <v>1</v>
      </c>
      <c r="E84" s="1">
        <v>45874</v>
      </c>
      <c r="F84" t="s">
        <v>734</v>
      </c>
      <c r="G84" s="1">
        <v>46364</v>
      </c>
      <c r="H84" s="1">
        <v>46006</v>
      </c>
      <c r="I84" t="s">
        <v>993</v>
      </c>
      <c r="J84" s="1">
        <v>46014</v>
      </c>
      <c r="K84" t="s">
        <v>731</v>
      </c>
    </row>
    <row r="85" spans="1:14">
      <c r="A85">
        <v>217</v>
      </c>
      <c r="B85" t="s">
        <v>820</v>
      </c>
      <c r="C85" t="s">
        <v>1047</v>
      </c>
      <c r="D85">
        <v>1</v>
      </c>
      <c r="E85" s="1">
        <v>45874</v>
      </c>
      <c r="F85" t="s">
        <v>734</v>
      </c>
      <c r="G85" s="1">
        <v>46364</v>
      </c>
      <c r="H85" s="1">
        <v>45966</v>
      </c>
      <c r="I85" t="s">
        <v>999</v>
      </c>
      <c r="J85" s="1">
        <v>46006</v>
      </c>
      <c r="K85" t="s">
        <v>993</v>
      </c>
      <c r="L85" t="s">
        <v>1048</v>
      </c>
      <c r="M85">
        <v>5005808</v>
      </c>
      <c r="N85" t="s">
        <v>249</v>
      </c>
    </row>
    <row r="86" spans="1:14">
      <c r="A86">
        <v>216</v>
      </c>
      <c r="B86" t="s">
        <v>424</v>
      </c>
      <c r="C86" t="s">
        <v>1033</v>
      </c>
      <c r="D86">
        <v>1</v>
      </c>
      <c r="E86" s="1">
        <v>45874</v>
      </c>
      <c r="F86" t="s">
        <v>734</v>
      </c>
      <c r="G86" s="1">
        <v>46239</v>
      </c>
      <c r="H86" s="1">
        <v>45874</v>
      </c>
      <c r="I86" t="s">
        <v>731</v>
      </c>
      <c r="J86" s="1">
        <v>45910</v>
      </c>
      <c r="K86" t="s">
        <v>732</v>
      </c>
      <c r="L86" t="s">
        <v>1046</v>
      </c>
      <c r="M86">
        <v>6010275</v>
      </c>
      <c r="N86">
        <v>20066</v>
      </c>
    </row>
    <row r="87" spans="1:14">
      <c r="A87">
        <v>215</v>
      </c>
      <c r="B87" t="s">
        <v>795</v>
      </c>
      <c r="C87" t="s">
        <v>1045</v>
      </c>
      <c r="D87">
        <v>1</v>
      </c>
      <c r="E87" s="1">
        <v>45860</v>
      </c>
      <c r="F87" t="s">
        <v>992</v>
      </c>
      <c r="G87" s="1">
        <v>46225</v>
      </c>
      <c r="H87" s="1">
        <v>45832</v>
      </c>
      <c r="I87" t="s">
        <v>731</v>
      </c>
      <c r="J87" s="1">
        <v>45895</v>
      </c>
      <c r="K87" t="s">
        <v>731</v>
      </c>
      <c r="L87" t="s">
        <v>1044</v>
      </c>
      <c r="M87">
        <v>6010225</v>
      </c>
      <c r="N87">
        <v>16170713</v>
      </c>
    </row>
    <row r="88" spans="1:14">
      <c r="A88">
        <v>214</v>
      </c>
      <c r="B88" t="s">
        <v>327</v>
      </c>
      <c r="C88" t="s">
        <v>1043</v>
      </c>
      <c r="D88">
        <v>1</v>
      </c>
      <c r="E88" s="1">
        <v>45860</v>
      </c>
      <c r="F88" t="s">
        <v>992</v>
      </c>
      <c r="G88" s="1">
        <v>46225</v>
      </c>
      <c r="H88" s="1">
        <v>45861</v>
      </c>
      <c r="I88" t="s">
        <v>995</v>
      </c>
      <c r="J88" s="1">
        <v>45903</v>
      </c>
      <c r="K88" t="s">
        <v>732</v>
      </c>
      <c r="L88" t="s">
        <v>1044</v>
      </c>
      <c r="M88">
        <v>6032171</v>
      </c>
      <c r="N88">
        <v>16168382</v>
      </c>
    </row>
    <row r="89" spans="1:14">
      <c r="A89">
        <v>213</v>
      </c>
      <c r="B89" t="s">
        <v>896</v>
      </c>
      <c r="C89" t="s">
        <v>1041</v>
      </c>
      <c r="D89">
        <v>1</v>
      </c>
      <c r="E89" s="1">
        <v>45859</v>
      </c>
      <c r="F89" t="s">
        <v>936</v>
      </c>
      <c r="G89" s="1">
        <v>46843</v>
      </c>
      <c r="H89" s="1">
        <v>45859</v>
      </c>
      <c r="I89" t="s">
        <v>993</v>
      </c>
      <c r="L89" t="s">
        <v>1042</v>
      </c>
      <c r="M89">
        <v>5008882</v>
      </c>
      <c r="N89" t="s">
        <v>253</v>
      </c>
    </row>
    <row r="90" spans="1:14">
      <c r="A90">
        <v>212</v>
      </c>
      <c r="B90" t="s">
        <v>840</v>
      </c>
      <c r="C90" t="s">
        <v>1040</v>
      </c>
      <c r="D90">
        <v>1</v>
      </c>
      <c r="E90" s="1">
        <v>45855</v>
      </c>
      <c r="F90" t="s">
        <v>1035</v>
      </c>
      <c r="G90" s="1">
        <v>46203</v>
      </c>
      <c r="H90" s="1">
        <v>45909</v>
      </c>
      <c r="I90" t="s">
        <v>731</v>
      </c>
      <c r="L90">
        <v>550747</v>
      </c>
      <c r="M90">
        <v>5009029</v>
      </c>
      <c r="N90" t="s">
        <v>301</v>
      </c>
    </row>
    <row r="91" spans="1:14">
      <c r="A91">
        <v>211</v>
      </c>
      <c r="B91" t="s">
        <v>896</v>
      </c>
      <c r="C91" t="s">
        <v>1038</v>
      </c>
      <c r="D91">
        <v>1</v>
      </c>
      <c r="E91" s="1">
        <v>45847</v>
      </c>
      <c r="F91" t="s">
        <v>1007</v>
      </c>
      <c r="G91" s="1">
        <v>46568</v>
      </c>
      <c r="M91">
        <v>5009119</v>
      </c>
      <c r="N91">
        <v>60050009</v>
      </c>
    </row>
    <row r="92" spans="1:14">
      <c r="A92">
        <v>210</v>
      </c>
      <c r="B92" t="s">
        <v>882</v>
      </c>
      <c r="C92" t="s">
        <v>1038</v>
      </c>
      <c r="D92">
        <v>1</v>
      </c>
      <c r="E92" s="1">
        <v>45847</v>
      </c>
      <c r="F92" t="s">
        <v>979</v>
      </c>
      <c r="G92" s="1">
        <v>46568</v>
      </c>
      <c r="H92" s="1">
        <v>45842</v>
      </c>
      <c r="I92" t="s">
        <v>731</v>
      </c>
      <c r="J92" s="1">
        <v>45917</v>
      </c>
      <c r="K92" t="s">
        <v>731</v>
      </c>
      <c r="L92" t="s">
        <v>1039</v>
      </c>
      <c r="M92">
        <v>6010114</v>
      </c>
      <c r="N92" t="s">
        <v>121</v>
      </c>
    </row>
    <row r="93" spans="1:14">
      <c r="A93">
        <v>209</v>
      </c>
      <c r="B93" t="s">
        <v>461</v>
      </c>
      <c r="C93">
        <v>246106</v>
      </c>
      <c r="D93">
        <v>1</v>
      </c>
      <c r="E93" s="1">
        <v>45847</v>
      </c>
      <c r="F93" t="s">
        <v>979</v>
      </c>
      <c r="G93" s="1">
        <v>46783</v>
      </c>
      <c r="H93" s="1">
        <v>45819</v>
      </c>
      <c r="I93" t="s">
        <v>731</v>
      </c>
      <c r="J93" s="1">
        <v>45736</v>
      </c>
      <c r="K93" t="s">
        <v>999</v>
      </c>
      <c r="L93" t="s">
        <v>1037</v>
      </c>
      <c r="M93">
        <v>4230436</v>
      </c>
      <c r="N93" t="s">
        <v>256</v>
      </c>
    </row>
    <row r="94" spans="1:14">
      <c r="A94">
        <v>208</v>
      </c>
      <c r="B94" t="s">
        <v>471</v>
      </c>
      <c r="C94" t="s">
        <v>1036</v>
      </c>
      <c r="D94">
        <v>1</v>
      </c>
      <c r="E94" s="1">
        <v>45847</v>
      </c>
      <c r="F94" t="s">
        <v>979</v>
      </c>
      <c r="G94" s="1">
        <v>47506</v>
      </c>
      <c r="H94" s="1">
        <v>45884</v>
      </c>
      <c r="I94" t="s">
        <v>999</v>
      </c>
      <c r="J94" s="1">
        <v>45903</v>
      </c>
      <c r="K94" t="s">
        <v>734</v>
      </c>
    </row>
    <row r="95" spans="1:14">
      <c r="A95">
        <v>207</v>
      </c>
      <c r="B95" t="s">
        <v>471</v>
      </c>
      <c r="C95" t="s">
        <v>1036</v>
      </c>
      <c r="D95">
        <v>1</v>
      </c>
      <c r="E95" s="1">
        <v>45847</v>
      </c>
      <c r="F95" t="s">
        <v>979</v>
      </c>
      <c r="G95" s="1">
        <v>47506</v>
      </c>
      <c r="H95" s="1">
        <v>45877</v>
      </c>
      <c r="I95" t="s">
        <v>734</v>
      </c>
      <c r="J95" s="1">
        <v>45884</v>
      </c>
      <c r="K95" t="s">
        <v>999</v>
      </c>
      <c r="L95" t="s">
        <v>1037</v>
      </c>
      <c r="M95">
        <v>6032079</v>
      </c>
      <c r="N95">
        <v>6000644</v>
      </c>
    </row>
    <row r="96" spans="1:14">
      <c r="A96">
        <v>206</v>
      </c>
      <c r="B96" t="s">
        <v>53</v>
      </c>
      <c r="C96" t="s">
        <v>1027</v>
      </c>
      <c r="D96">
        <v>1</v>
      </c>
      <c r="E96" s="1">
        <v>45828</v>
      </c>
      <c r="F96" t="s">
        <v>1035</v>
      </c>
      <c r="G96" s="1">
        <v>47050</v>
      </c>
      <c r="H96" s="1">
        <v>46036</v>
      </c>
      <c r="I96" t="s">
        <v>732</v>
      </c>
      <c r="L96" t="s">
        <v>1028</v>
      </c>
      <c r="M96">
        <v>5003463</v>
      </c>
      <c r="N96" t="s">
        <v>248</v>
      </c>
    </row>
    <row r="97" spans="1:14">
      <c r="A97">
        <v>205</v>
      </c>
      <c r="B97" t="s">
        <v>424</v>
      </c>
      <c r="C97" t="s">
        <v>1033</v>
      </c>
      <c r="D97">
        <v>1</v>
      </c>
      <c r="E97" s="1">
        <v>45807</v>
      </c>
      <c r="F97" t="s">
        <v>732</v>
      </c>
      <c r="G97" s="1">
        <v>46172</v>
      </c>
      <c r="H97" s="1">
        <v>45821</v>
      </c>
      <c r="I97" t="s">
        <v>732</v>
      </c>
      <c r="J97" s="1">
        <v>45868</v>
      </c>
      <c r="K97" t="s">
        <v>731</v>
      </c>
      <c r="L97" t="s">
        <v>1034</v>
      </c>
      <c r="M97">
        <v>6010275</v>
      </c>
      <c r="N97">
        <v>20066</v>
      </c>
    </row>
    <row r="98" spans="1:14">
      <c r="A98">
        <v>204</v>
      </c>
      <c r="B98" t="s">
        <v>944</v>
      </c>
      <c r="C98" t="s">
        <v>1032</v>
      </c>
      <c r="D98">
        <v>1</v>
      </c>
      <c r="E98" s="1">
        <v>45811</v>
      </c>
      <c r="F98" t="s">
        <v>995</v>
      </c>
      <c r="G98" s="1">
        <v>46401</v>
      </c>
      <c r="M98">
        <v>5003394</v>
      </c>
      <c r="N98" t="s">
        <v>940</v>
      </c>
    </row>
    <row r="99" spans="1:14">
      <c r="A99">
        <v>203</v>
      </c>
      <c r="B99" t="s">
        <v>791</v>
      </c>
      <c r="C99" t="s">
        <v>1030</v>
      </c>
      <c r="D99">
        <v>1</v>
      </c>
      <c r="E99" s="1">
        <v>45804</v>
      </c>
      <c r="F99" t="s">
        <v>1011</v>
      </c>
      <c r="G99" s="1">
        <v>47089</v>
      </c>
      <c r="H99" s="1">
        <v>45890</v>
      </c>
      <c r="I99" t="s">
        <v>731</v>
      </c>
      <c r="L99" t="s">
        <v>1031</v>
      </c>
      <c r="M99">
        <v>6010132</v>
      </c>
      <c r="N99" t="s">
        <v>238</v>
      </c>
    </row>
    <row r="100" spans="1:14">
      <c r="A100">
        <v>202</v>
      </c>
      <c r="B100" t="s">
        <v>455</v>
      </c>
      <c r="C100">
        <v>1540284</v>
      </c>
      <c r="D100">
        <v>1</v>
      </c>
      <c r="E100" s="1">
        <v>45806</v>
      </c>
      <c r="F100" t="s">
        <v>979</v>
      </c>
      <c r="G100" s="1">
        <v>46425</v>
      </c>
      <c r="H100" s="1">
        <v>45862</v>
      </c>
      <c r="I100" t="s">
        <v>731</v>
      </c>
      <c r="J100" s="1">
        <v>45862</v>
      </c>
      <c r="K100" t="s">
        <v>731</v>
      </c>
    </row>
    <row r="101" spans="1:14">
      <c r="A101">
        <v>201</v>
      </c>
      <c r="B101" t="s">
        <v>455</v>
      </c>
      <c r="C101">
        <v>1540284</v>
      </c>
      <c r="D101">
        <v>1</v>
      </c>
      <c r="E101" s="1">
        <v>45806</v>
      </c>
      <c r="F101" t="s">
        <v>979</v>
      </c>
      <c r="G101" s="1">
        <v>46425</v>
      </c>
      <c r="H101" s="1">
        <v>45834</v>
      </c>
      <c r="I101" t="s">
        <v>734</v>
      </c>
      <c r="J101" s="1">
        <v>45834</v>
      </c>
      <c r="K101" t="s">
        <v>734</v>
      </c>
      <c r="L101" t="s">
        <v>1029</v>
      </c>
      <c r="M101">
        <v>5006622</v>
      </c>
      <c r="N101" t="s">
        <v>231</v>
      </c>
    </row>
    <row r="102" spans="1:14">
      <c r="A102">
        <v>200</v>
      </c>
      <c r="B102" t="s">
        <v>53</v>
      </c>
      <c r="C102" t="s">
        <v>1027</v>
      </c>
      <c r="D102">
        <v>1</v>
      </c>
      <c r="E102" s="1">
        <v>45806</v>
      </c>
      <c r="F102" t="s">
        <v>999</v>
      </c>
      <c r="G102" s="1">
        <v>47020</v>
      </c>
      <c r="H102" s="1">
        <v>45890</v>
      </c>
      <c r="I102" t="s">
        <v>731</v>
      </c>
      <c r="J102" s="1">
        <v>46036</v>
      </c>
      <c r="K102" t="s">
        <v>732</v>
      </c>
      <c r="L102" t="s">
        <v>1028</v>
      </c>
      <c r="M102">
        <v>5003463</v>
      </c>
      <c r="N102" t="s">
        <v>248</v>
      </c>
    </row>
    <row r="103" spans="1:14">
      <c r="A103">
        <v>199</v>
      </c>
      <c r="B103" t="s">
        <v>471</v>
      </c>
      <c r="C103" t="s">
        <v>1016</v>
      </c>
      <c r="D103">
        <v>1</v>
      </c>
      <c r="E103" s="1">
        <v>45800</v>
      </c>
      <c r="F103" t="s">
        <v>734</v>
      </c>
      <c r="G103" s="1">
        <v>47264</v>
      </c>
      <c r="H103" s="1">
        <v>45863</v>
      </c>
      <c r="I103" t="s">
        <v>995</v>
      </c>
      <c r="J103" s="1">
        <v>45877</v>
      </c>
      <c r="K103" t="s">
        <v>999</v>
      </c>
    </row>
    <row r="104" spans="1:14">
      <c r="A104">
        <v>198</v>
      </c>
      <c r="B104" t="s">
        <v>471</v>
      </c>
      <c r="C104" t="s">
        <v>1016</v>
      </c>
      <c r="D104">
        <v>1</v>
      </c>
      <c r="E104" s="1">
        <v>45800</v>
      </c>
      <c r="F104" t="s">
        <v>734</v>
      </c>
      <c r="G104" s="1">
        <v>47264</v>
      </c>
      <c r="H104" s="1">
        <v>45852</v>
      </c>
      <c r="I104" t="s">
        <v>731</v>
      </c>
      <c r="J104" s="1">
        <v>45863</v>
      </c>
      <c r="K104" t="s">
        <v>995</v>
      </c>
    </row>
    <row r="105" spans="1:14">
      <c r="A105">
        <v>197</v>
      </c>
      <c r="B105" t="s">
        <v>471</v>
      </c>
      <c r="C105" t="s">
        <v>1016</v>
      </c>
      <c r="D105">
        <v>1</v>
      </c>
      <c r="E105" s="1">
        <v>45800</v>
      </c>
      <c r="F105" t="s">
        <v>734</v>
      </c>
      <c r="G105" s="1">
        <v>47264</v>
      </c>
      <c r="H105" s="1">
        <v>45840</v>
      </c>
      <c r="I105" t="s">
        <v>731</v>
      </c>
      <c r="J105" s="1">
        <v>45849</v>
      </c>
      <c r="K105" t="s">
        <v>731</v>
      </c>
      <c r="L105" t="s">
        <v>1026</v>
      </c>
      <c r="M105">
        <v>6032079</v>
      </c>
      <c r="N105">
        <v>6000644</v>
      </c>
    </row>
    <row r="106" spans="1:14">
      <c r="A106">
        <v>196</v>
      </c>
      <c r="B106" t="s">
        <v>882</v>
      </c>
      <c r="C106">
        <v>246535</v>
      </c>
      <c r="D106">
        <v>1</v>
      </c>
      <c r="E106" s="1">
        <v>45800</v>
      </c>
      <c r="F106" t="s">
        <v>734</v>
      </c>
      <c r="G106" s="1">
        <v>46165</v>
      </c>
      <c r="H106" s="1">
        <v>45800</v>
      </c>
      <c r="I106" t="s">
        <v>731</v>
      </c>
      <c r="J106" s="1">
        <v>45832</v>
      </c>
      <c r="K106" t="s">
        <v>731</v>
      </c>
      <c r="L106" t="s">
        <v>1026</v>
      </c>
      <c r="M106">
        <v>6010114</v>
      </c>
      <c r="N106" t="s">
        <v>121</v>
      </c>
    </row>
    <row r="107" spans="1:14">
      <c r="A107">
        <v>195</v>
      </c>
      <c r="B107" t="s">
        <v>821</v>
      </c>
      <c r="C107">
        <v>45010119</v>
      </c>
      <c r="D107">
        <v>1</v>
      </c>
      <c r="E107" s="1">
        <v>45791</v>
      </c>
      <c r="F107" t="s">
        <v>979</v>
      </c>
      <c r="G107" s="1">
        <v>46397</v>
      </c>
    </row>
    <row r="108" spans="1:14">
      <c r="A108">
        <v>194</v>
      </c>
      <c r="B108" t="s">
        <v>821</v>
      </c>
      <c r="C108">
        <v>45010119</v>
      </c>
      <c r="D108">
        <v>1</v>
      </c>
      <c r="E108" s="1">
        <v>45791</v>
      </c>
      <c r="F108" t="s">
        <v>979</v>
      </c>
      <c r="G108" s="1">
        <v>46397</v>
      </c>
      <c r="H108" s="1">
        <v>45895</v>
      </c>
      <c r="I108" t="s">
        <v>732</v>
      </c>
      <c r="L108" t="s">
        <v>1025</v>
      </c>
      <c r="M108">
        <v>5006462</v>
      </c>
      <c r="N108" t="s">
        <v>745</v>
      </c>
    </row>
    <row r="109" spans="1:14">
      <c r="A109">
        <v>193</v>
      </c>
      <c r="B109" t="s">
        <v>483</v>
      </c>
      <c r="C109" t="s">
        <v>1024</v>
      </c>
      <c r="D109">
        <v>1</v>
      </c>
      <c r="E109" s="1">
        <v>45790</v>
      </c>
      <c r="F109" t="s">
        <v>1007</v>
      </c>
      <c r="G109" s="1">
        <v>46477</v>
      </c>
      <c r="H109" s="1">
        <v>45825</v>
      </c>
      <c r="I109" t="s">
        <v>1011</v>
      </c>
      <c r="J109" s="1">
        <v>46028</v>
      </c>
      <c r="K109" t="s">
        <v>995</v>
      </c>
      <c r="M109">
        <v>5003439</v>
      </c>
      <c r="N109" t="s">
        <v>234</v>
      </c>
    </row>
    <row r="110" spans="1:14">
      <c r="A110">
        <v>192</v>
      </c>
      <c r="B110" t="s">
        <v>486</v>
      </c>
      <c r="C110" t="s">
        <v>1023</v>
      </c>
      <c r="D110">
        <v>1</v>
      </c>
      <c r="E110" s="1">
        <v>45790</v>
      </c>
      <c r="F110" t="s">
        <v>995</v>
      </c>
      <c r="G110" s="1">
        <v>46507</v>
      </c>
      <c r="H110" s="1">
        <v>45797</v>
      </c>
      <c r="I110" t="s">
        <v>732</v>
      </c>
      <c r="J110" s="1">
        <v>45964</v>
      </c>
      <c r="K110" t="s">
        <v>979</v>
      </c>
      <c r="M110">
        <v>6040050</v>
      </c>
      <c r="N110" t="s">
        <v>291</v>
      </c>
    </row>
    <row r="111" spans="1:14">
      <c r="A111">
        <v>191</v>
      </c>
      <c r="B111" t="s">
        <v>471</v>
      </c>
      <c r="C111" t="s">
        <v>1016</v>
      </c>
      <c r="D111">
        <v>1</v>
      </c>
      <c r="E111" s="1">
        <v>45784</v>
      </c>
      <c r="F111" t="s">
        <v>734</v>
      </c>
      <c r="G111" s="1">
        <v>47264</v>
      </c>
      <c r="H111" s="1">
        <v>45828</v>
      </c>
      <c r="I111" t="s">
        <v>731</v>
      </c>
      <c r="J111" s="1">
        <v>45838</v>
      </c>
      <c r="K111" t="s">
        <v>731</v>
      </c>
    </row>
    <row r="112" spans="1:14">
      <c r="A112">
        <v>190</v>
      </c>
      <c r="B112" t="s">
        <v>471</v>
      </c>
      <c r="C112" t="s">
        <v>1016</v>
      </c>
      <c r="D112">
        <v>1</v>
      </c>
      <c r="E112" s="1">
        <v>45784</v>
      </c>
      <c r="F112" t="s">
        <v>734</v>
      </c>
      <c r="G112" s="1">
        <v>47264</v>
      </c>
      <c r="H112" s="1">
        <v>45811</v>
      </c>
      <c r="I112" t="s">
        <v>979</v>
      </c>
      <c r="J112" s="1">
        <v>45828</v>
      </c>
      <c r="K112" t="s">
        <v>731</v>
      </c>
    </row>
    <row r="113" spans="1:14">
      <c r="A113">
        <v>189</v>
      </c>
      <c r="B113" t="s">
        <v>471</v>
      </c>
      <c r="C113" t="s">
        <v>1016</v>
      </c>
      <c r="D113">
        <v>1</v>
      </c>
      <c r="E113" s="1">
        <v>45784</v>
      </c>
      <c r="F113" t="s">
        <v>734</v>
      </c>
      <c r="G113" s="1">
        <v>47264</v>
      </c>
      <c r="H113" s="1">
        <v>45797</v>
      </c>
      <c r="I113" t="s">
        <v>732</v>
      </c>
      <c r="J113" s="1">
        <v>45811</v>
      </c>
      <c r="K113" t="s">
        <v>979</v>
      </c>
      <c r="L113" t="s">
        <v>1022</v>
      </c>
      <c r="M113">
        <v>6032079</v>
      </c>
      <c r="N113">
        <v>6000644</v>
      </c>
    </row>
    <row r="114" spans="1:14">
      <c r="A114">
        <v>188</v>
      </c>
      <c r="B114" t="s">
        <v>795</v>
      </c>
      <c r="C114" t="s">
        <v>1019</v>
      </c>
      <c r="D114">
        <v>1</v>
      </c>
      <c r="E114" s="1">
        <v>45757</v>
      </c>
      <c r="F114" t="s">
        <v>999</v>
      </c>
      <c r="G114" s="1">
        <v>46122</v>
      </c>
      <c r="H114" s="1">
        <v>45765</v>
      </c>
      <c r="I114" t="s">
        <v>731</v>
      </c>
      <c r="J114" s="1">
        <v>45820</v>
      </c>
      <c r="K114" t="s">
        <v>731</v>
      </c>
      <c r="L114" t="s">
        <v>1018</v>
      </c>
      <c r="M114">
        <v>6010225</v>
      </c>
      <c r="N114">
        <v>16170713</v>
      </c>
    </row>
    <row r="115" spans="1:14">
      <c r="A115">
        <v>187</v>
      </c>
      <c r="B115" t="s">
        <v>424</v>
      </c>
      <c r="C115" t="s">
        <v>989</v>
      </c>
      <c r="D115">
        <v>1</v>
      </c>
      <c r="E115" s="1">
        <v>45757</v>
      </c>
      <c r="F115" t="s">
        <v>999</v>
      </c>
      <c r="G115" s="1">
        <v>46122</v>
      </c>
      <c r="H115" s="1">
        <v>45783</v>
      </c>
      <c r="I115" t="s">
        <v>731</v>
      </c>
      <c r="J115" s="1">
        <v>45821</v>
      </c>
      <c r="K115" t="s">
        <v>732</v>
      </c>
      <c r="L115" t="s">
        <v>1018</v>
      </c>
      <c r="M115">
        <v>6010275</v>
      </c>
      <c r="N115">
        <v>20066</v>
      </c>
    </row>
    <row r="116" spans="1:14">
      <c r="A116">
        <v>186</v>
      </c>
      <c r="B116" t="s">
        <v>820</v>
      </c>
      <c r="C116" t="s">
        <v>1000</v>
      </c>
      <c r="D116">
        <v>1</v>
      </c>
      <c r="E116" s="1">
        <v>45762</v>
      </c>
      <c r="F116" t="s">
        <v>995</v>
      </c>
      <c r="G116" s="1">
        <v>46364</v>
      </c>
      <c r="H116" s="1">
        <v>45903</v>
      </c>
      <c r="I116" t="s">
        <v>995</v>
      </c>
      <c r="J116" s="1">
        <v>45966</v>
      </c>
      <c r="K116" t="s">
        <v>999</v>
      </c>
    </row>
    <row r="117" spans="1:14">
      <c r="A117">
        <v>185</v>
      </c>
      <c r="B117" t="s">
        <v>820</v>
      </c>
      <c r="C117" t="s">
        <v>1000</v>
      </c>
      <c r="D117">
        <v>1</v>
      </c>
      <c r="E117" s="1">
        <v>45762</v>
      </c>
      <c r="F117" t="s">
        <v>995</v>
      </c>
      <c r="G117" s="1">
        <v>46364</v>
      </c>
      <c r="H117" s="1">
        <v>45833</v>
      </c>
      <c r="I117" t="s">
        <v>999</v>
      </c>
      <c r="J117" s="1">
        <v>45903</v>
      </c>
      <c r="K117" t="s">
        <v>995</v>
      </c>
      <c r="M117">
        <v>5005808</v>
      </c>
      <c r="N117" t="s">
        <v>249</v>
      </c>
    </row>
    <row r="118" spans="1:14">
      <c r="A118">
        <v>184</v>
      </c>
      <c r="B118" t="s">
        <v>832</v>
      </c>
      <c r="C118" t="s">
        <v>955</v>
      </c>
      <c r="D118">
        <v>1</v>
      </c>
      <c r="E118" s="1">
        <v>45762</v>
      </c>
      <c r="F118" t="s">
        <v>995</v>
      </c>
      <c r="G118" s="1">
        <v>46187</v>
      </c>
      <c r="M118">
        <v>5007924</v>
      </c>
      <c r="N118" t="s">
        <v>296</v>
      </c>
    </row>
    <row r="119" spans="1:14">
      <c r="A119">
        <v>183</v>
      </c>
      <c r="B119" t="s">
        <v>471</v>
      </c>
      <c r="C119" t="s">
        <v>1016</v>
      </c>
      <c r="D119">
        <v>1</v>
      </c>
      <c r="E119" s="1">
        <v>45755</v>
      </c>
      <c r="F119" t="s">
        <v>979</v>
      </c>
      <c r="G119" s="1">
        <v>47264</v>
      </c>
      <c r="H119" s="1">
        <v>45782</v>
      </c>
      <c r="I119" t="s">
        <v>732</v>
      </c>
      <c r="J119" s="1">
        <v>45797</v>
      </c>
      <c r="K119" t="s">
        <v>732</v>
      </c>
    </row>
    <row r="120" spans="1:14">
      <c r="A120">
        <v>182</v>
      </c>
      <c r="B120" t="s">
        <v>471</v>
      </c>
      <c r="C120" t="s">
        <v>1016</v>
      </c>
      <c r="D120">
        <v>1</v>
      </c>
      <c r="E120" s="1">
        <v>45755</v>
      </c>
      <c r="F120" t="s">
        <v>979</v>
      </c>
      <c r="G120" s="1">
        <v>47264</v>
      </c>
      <c r="H120" s="1">
        <v>45757</v>
      </c>
      <c r="I120" t="s">
        <v>732</v>
      </c>
      <c r="J120" s="1">
        <v>45782</v>
      </c>
      <c r="K120" t="s">
        <v>732</v>
      </c>
      <c r="L120" t="s">
        <v>1017</v>
      </c>
      <c r="M120">
        <v>6032079</v>
      </c>
      <c r="N120">
        <v>6000644</v>
      </c>
    </row>
    <row r="121" spans="1:14">
      <c r="A121">
        <v>181</v>
      </c>
      <c r="B121" t="s">
        <v>456</v>
      </c>
      <c r="C121" t="s">
        <v>1015</v>
      </c>
      <c r="D121">
        <v>1</v>
      </c>
      <c r="E121" s="1">
        <v>45737</v>
      </c>
      <c r="F121" t="s">
        <v>734</v>
      </c>
      <c r="G121" s="1">
        <v>45705</v>
      </c>
      <c r="M121">
        <v>5008040</v>
      </c>
      <c r="N121" t="s">
        <v>277</v>
      </c>
    </row>
    <row r="122" spans="1:14">
      <c r="A122">
        <v>180</v>
      </c>
      <c r="B122" t="s">
        <v>461</v>
      </c>
      <c r="C122">
        <v>235425</v>
      </c>
      <c r="D122">
        <v>1</v>
      </c>
      <c r="E122" s="1">
        <v>45740</v>
      </c>
      <c r="F122" t="s">
        <v>979</v>
      </c>
      <c r="G122" s="1">
        <v>46356</v>
      </c>
      <c r="H122" s="1">
        <v>45714</v>
      </c>
      <c r="I122" t="s">
        <v>731</v>
      </c>
      <c r="J122" s="1">
        <v>45807</v>
      </c>
      <c r="K122" t="s">
        <v>731</v>
      </c>
      <c r="L122" t="s">
        <v>1014</v>
      </c>
      <c r="M122">
        <v>4230436</v>
      </c>
      <c r="N122" t="s">
        <v>256</v>
      </c>
    </row>
    <row r="123" spans="1:14">
      <c r="A123">
        <v>179</v>
      </c>
      <c r="B123" t="s">
        <v>471</v>
      </c>
      <c r="C123" t="s">
        <v>1013</v>
      </c>
      <c r="D123">
        <v>1</v>
      </c>
      <c r="E123" s="1">
        <v>45740</v>
      </c>
      <c r="F123" t="s">
        <v>999</v>
      </c>
      <c r="G123" s="1">
        <v>47264</v>
      </c>
      <c r="H123" s="1">
        <v>45748</v>
      </c>
      <c r="I123" t="s">
        <v>732</v>
      </c>
      <c r="J123" s="1">
        <v>45757</v>
      </c>
      <c r="K123" t="s">
        <v>732</v>
      </c>
    </row>
    <row r="124" spans="1:14">
      <c r="A124">
        <v>178</v>
      </c>
      <c r="B124" t="s">
        <v>471</v>
      </c>
      <c r="C124" t="s">
        <v>1013</v>
      </c>
      <c r="D124">
        <v>1</v>
      </c>
      <c r="E124" s="1">
        <v>45740</v>
      </c>
      <c r="F124" t="s">
        <v>999</v>
      </c>
      <c r="G124" s="1">
        <v>47264</v>
      </c>
      <c r="H124" s="1">
        <v>45740</v>
      </c>
      <c r="I124" t="s">
        <v>732</v>
      </c>
      <c r="J124" s="1">
        <v>45748</v>
      </c>
      <c r="K124" t="s">
        <v>732</v>
      </c>
      <c r="L124" t="s">
        <v>1014</v>
      </c>
      <c r="M124">
        <v>6032079</v>
      </c>
      <c r="N124">
        <v>6000644</v>
      </c>
    </row>
    <row r="125" spans="1:14">
      <c r="A125">
        <v>177</v>
      </c>
      <c r="B125" t="s">
        <v>456</v>
      </c>
      <c r="C125" t="s">
        <v>1012</v>
      </c>
      <c r="D125">
        <v>1</v>
      </c>
      <c r="E125" s="1">
        <v>45688</v>
      </c>
      <c r="F125" t="s">
        <v>734</v>
      </c>
      <c r="G125" s="1">
        <v>46194</v>
      </c>
    </row>
    <row r="126" spans="1:14">
      <c r="A126">
        <v>176</v>
      </c>
      <c r="B126" t="s">
        <v>456</v>
      </c>
      <c r="C126" t="s">
        <v>1012</v>
      </c>
      <c r="D126">
        <v>1</v>
      </c>
      <c r="E126" s="1">
        <v>45688</v>
      </c>
      <c r="F126" t="s">
        <v>734</v>
      </c>
      <c r="G126" s="1">
        <v>46194</v>
      </c>
      <c r="M126">
        <v>5008040</v>
      </c>
      <c r="N126" t="s">
        <v>277</v>
      </c>
    </row>
    <row r="127" spans="1:14">
      <c r="A127">
        <v>175</v>
      </c>
      <c r="B127" t="s">
        <v>455</v>
      </c>
      <c r="C127">
        <v>1460682</v>
      </c>
      <c r="D127">
        <v>1</v>
      </c>
      <c r="E127" s="1">
        <v>45715</v>
      </c>
      <c r="F127" t="s">
        <v>734</v>
      </c>
      <c r="G127" s="1">
        <v>46425</v>
      </c>
      <c r="H127" s="1">
        <v>45784</v>
      </c>
      <c r="I127" t="s">
        <v>731</v>
      </c>
      <c r="J127" s="1">
        <v>45784</v>
      </c>
      <c r="K127" t="s">
        <v>731</v>
      </c>
    </row>
    <row r="128" spans="1:14">
      <c r="A128">
        <v>174</v>
      </c>
      <c r="B128" t="s">
        <v>455</v>
      </c>
      <c r="C128">
        <v>1460682</v>
      </c>
      <c r="D128">
        <v>1</v>
      </c>
      <c r="E128" s="1">
        <v>45715</v>
      </c>
      <c r="F128" t="s">
        <v>734</v>
      </c>
      <c r="G128" s="1">
        <v>46425</v>
      </c>
      <c r="H128" s="1">
        <v>45737</v>
      </c>
      <c r="I128" t="s">
        <v>731</v>
      </c>
      <c r="J128" s="1">
        <v>45737</v>
      </c>
      <c r="K128" t="s">
        <v>731</v>
      </c>
      <c r="L128" t="s">
        <v>1009</v>
      </c>
      <c r="M128">
        <v>5006622</v>
      </c>
      <c r="N128" t="s">
        <v>231</v>
      </c>
    </row>
    <row r="129" spans="1:14">
      <c r="A129">
        <v>173</v>
      </c>
      <c r="B129" t="s">
        <v>1003</v>
      </c>
      <c r="C129">
        <v>523313</v>
      </c>
      <c r="D129">
        <v>1</v>
      </c>
      <c r="E129" s="1">
        <v>45714</v>
      </c>
      <c r="F129" t="s">
        <v>1007</v>
      </c>
      <c r="G129" s="1">
        <v>46079</v>
      </c>
    </row>
    <row r="130" spans="1:14">
      <c r="A130">
        <v>172</v>
      </c>
      <c r="B130" t="s">
        <v>1003</v>
      </c>
      <c r="C130">
        <v>523313</v>
      </c>
      <c r="D130">
        <v>1</v>
      </c>
      <c r="E130" s="1">
        <v>45714</v>
      </c>
      <c r="F130" t="s">
        <v>1007</v>
      </c>
      <c r="G130" s="1">
        <v>46079</v>
      </c>
      <c r="L130" t="s">
        <v>1008</v>
      </c>
      <c r="M130">
        <v>6006647</v>
      </c>
      <c r="N130" t="s">
        <v>1006</v>
      </c>
    </row>
    <row r="131" spans="1:14">
      <c r="A131">
        <v>171</v>
      </c>
      <c r="B131" t="s">
        <v>854</v>
      </c>
      <c r="C131" t="s">
        <v>1002</v>
      </c>
      <c r="D131">
        <v>1</v>
      </c>
      <c r="E131" s="1">
        <v>45700</v>
      </c>
      <c r="F131" t="s">
        <v>734</v>
      </c>
      <c r="G131" s="1">
        <v>46356</v>
      </c>
      <c r="H131" s="1">
        <v>45700</v>
      </c>
      <c r="I131" t="s">
        <v>732</v>
      </c>
    </row>
    <row r="132" spans="1:14">
      <c r="A132">
        <v>170</v>
      </c>
      <c r="B132" t="s">
        <v>485</v>
      </c>
      <c r="C132" t="s">
        <v>1001</v>
      </c>
      <c r="D132">
        <v>1</v>
      </c>
      <c r="E132" s="1">
        <v>45700</v>
      </c>
      <c r="F132" t="s">
        <v>734</v>
      </c>
      <c r="G132" s="1">
        <v>46418</v>
      </c>
      <c r="H132" s="1">
        <v>45748</v>
      </c>
      <c r="I132" t="s">
        <v>731</v>
      </c>
      <c r="M132">
        <v>6040077</v>
      </c>
      <c r="N132" t="s">
        <v>264</v>
      </c>
    </row>
    <row r="133" spans="1:14">
      <c r="A133">
        <v>169</v>
      </c>
      <c r="B133" t="s">
        <v>820</v>
      </c>
      <c r="C133" t="s">
        <v>1000</v>
      </c>
      <c r="D133">
        <v>1</v>
      </c>
      <c r="E133" s="1">
        <v>45707</v>
      </c>
      <c r="F133" t="s">
        <v>995</v>
      </c>
      <c r="G133" s="1">
        <v>46364</v>
      </c>
      <c r="H133" s="1">
        <v>45768</v>
      </c>
      <c r="I133" t="s">
        <v>732</v>
      </c>
      <c r="J133" s="1">
        <v>45833</v>
      </c>
      <c r="K133" t="s">
        <v>999</v>
      </c>
    </row>
    <row r="134" spans="1:14">
      <c r="A134">
        <v>168</v>
      </c>
      <c r="B134" t="s">
        <v>820</v>
      </c>
      <c r="C134" t="s">
        <v>1000</v>
      </c>
      <c r="D134">
        <v>1</v>
      </c>
      <c r="E134" s="1">
        <v>45707</v>
      </c>
      <c r="F134" t="s">
        <v>995</v>
      </c>
      <c r="G134" s="1">
        <v>46364</v>
      </c>
      <c r="H134" s="1">
        <v>45712</v>
      </c>
      <c r="I134" t="s">
        <v>731</v>
      </c>
      <c r="J134" s="1">
        <v>45768</v>
      </c>
      <c r="K134" t="s">
        <v>732</v>
      </c>
      <c r="M134">
        <v>5005808</v>
      </c>
      <c r="N134" t="s">
        <v>249</v>
      </c>
    </row>
    <row r="135" spans="1:14">
      <c r="A135">
        <v>167</v>
      </c>
      <c r="B135" t="s">
        <v>819</v>
      </c>
      <c r="C135" t="s">
        <v>938</v>
      </c>
      <c r="D135">
        <v>1</v>
      </c>
      <c r="E135" s="1">
        <v>45707</v>
      </c>
      <c r="F135" t="s">
        <v>995</v>
      </c>
      <c r="G135" s="1">
        <v>46112</v>
      </c>
      <c r="H135" s="1">
        <v>45903</v>
      </c>
      <c r="I135" t="s">
        <v>732</v>
      </c>
      <c r="J135" s="1">
        <v>46014</v>
      </c>
      <c r="K135" t="s">
        <v>731</v>
      </c>
    </row>
    <row r="136" spans="1:14">
      <c r="A136">
        <v>166</v>
      </c>
      <c r="B136" t="s">
        <v>819</v>
      </c>
      <c r="C136" t="s">
        <v>938</v>
      </c>
      <c r="D136">
        <v>1</v>
      </c>
      <c r="E136" s="1">
        <v>45707</v>
      </c>
      <c r="F136" t="s">
        <v>995</v>
      </c>
      <c r="G136" s="1">
        <v>46112</v>
      </c>
      <c r="H136" s="1">
        <v>45789</v>
      </c>
      <c r="I136" t="s">
        <v>732</v>
      </c>
      <c r="J136" s="1">
        <v>45903</v>
      </c>
      <c r="K136" t="s">
        <v>732</v>
      </c>
      <c r="M136">
        <v>5005795</v>
      </c>
      <c r="N136" t="s">
        <v>266</v>
      </c>
    </row>
    <row r="137" spans="1:14">
      <c r="A137">
        <v>165</v>
      </c>
      <c r="B137" t="s">
        <v>466</v>
      </c>
      <c r="C137" t="s">
        <v>850</v>
      </c>
      <c r="D137">
        <v>1</v>
      </c>
      <c r="E137" s="1">
        <v>45707</v>
      </c>
      <c r="F137" t="s">
        <v>999</v>
      </c>
      <c r="G137" s="1">
        <v>46117</v>
      </c>
      <c r="H137" s="1">
        <v>45940</v>
      </c>
      <c r="I137" t="s">
        <v>993</v>
      </c>
      <c r="J137" s="1">
        <v>45996</v>
      </c>
      <c r="K137" t="s">
        <v>731</v>
      </c>
      <c r="M137">
        <v>5006955</v>
      </c>
      <c r="N137" t="s">
        <v>300</v>
      </c>
    </row>
    <row r="138" spans="1:14">
      <c r="A138">
        <v>164</v>
      </c>
      <c r="B138" t="s">
        <v>424</v>
      </c>
      <c r="C138" t="s">
        <v>989</v>
      </c>
      <c r="D138">
        <v>1</v>
      </c>
      <c r="E138" s="1">
        <v>45702</v>
      </c>
      <c r="F138" t="s">
        <v>734</v>
      </c>
      <c r="G138" s="1">
        <v>46067</v>
      </c>
      <c r="H138" s="1">
        <v>45727</v>
      </c>
      <c r="I138" t="s">
        <v>1011</v>
      </c>
      <c r="J138" s="1">
        <v>45772</v>
      </c>
      <c r="K138" t="s">
        <v>731</v>
      </c>
      <c r="L138" t="s">
        <v>998</v>
      </c>
      <c r="M138">
        <v>6010275</v>
      </c>
      <c r="N138">
        <v>20066</v>
      </c>
    </row>
    <row r="139" spans="1:14">
      <c r="A139">
        <v>163</v>
      </c>
      <c r="B139" t="s">
        <v>795</v>
      </c>
      <c r="C139" t="s">
        <v>997</v>
      </c>
      <c r="D139">
        <v>1</v>
      </c>
      <c r="E139" s="1">
        <v>45702</v>
      </c>
      <c r="F139" t="s">
        <v>734</v>
      </c>
      <c r="G139" s="1">
        <v>46067</v>
      </c>
      <c r="H139" s="1">
        <v>45727</v>
      </c>
      <c r="I139" t="s">
        <v>1011</v>
      </c>
      <c r="J139" s="1">
        <v>45764</v>
      </c>
      <c r="K139" t="s">
        <v>731</v>
      </c>
      <c r="L139" t="s">
        <v>998</v>
      </c>
      <c r="M139">
        <v>6010225</v>
      </c>
      <c r="N139">
        <v>16170713</v>
      </c>
    </row>
    <row r="140" spans="1:14">
      <c r="A140">
        <v>162</v>
      </c>
      <c r="B140" t="s">
        <v>882</v>
      </c>
      <c r="C140">
        <v>244619</v>
      </c>
      <c r="D140">
        <v>1</v>
      </c>
      <c r="E140" s="1">
        <v>45700</v>
      </c>
      <c r="F140" t="s">
        <v>995</v>
      </c>
      <c r="G140" s="1">
        <v>46065</v>
      </c>
      <c r="H140" s="1">
        <v>45673</v>
      </c>
      <c r="I140" t="s">
        <v>731</v>
      </c>
      <c r="J140" s="1">
        <v>45800</v>
      </c>
      <c r="K140" t="s">
        <v>731</v>
      </c>
      <c r="L140" t="s">
        <v>996</v>
      </c>
      <c r="M140">
        <v>6010114</v>
      </c>
      <c r="N140" t="s">
        <v>121</v>
      </c>
    </row>
    <row r="141" spans="1:14">
      <c r="A141">
        <v>161</v>
      </c>
      <c r="B141" t="s">
        <v>471</v>
      </c>
      <c r="C141" t="s">
        <v>994</v>
      </c>
      <c r="D141">
        <v>1</v>
      </c>
      <c r="E141" s="1">
        <v>45700</v>
      </c>
      <c r="F141" t="s">
        <v>995</v>
      </c>
      <c r="G141" s="1">
        <v>47247</v>
      </c>
      <c r="H141" s="1">
        <v>45720</v>
      </c>
      <c r="I141" t="s">
        <v>732</v>
      </c>
      <c r="J141" s="1">
        <v>45735</v>
      </c>
      <c r="K141" t="s">
        <v>732</v>
      </c>
    </row>
    <row r="142" spans="1:14">
      <c r="A142">
        <v>160</v>
      </c>
      <c r="B142" t="s">
        <v>471</v>
      </c>
      <c r="C142" t="s">
        <v>994</v>
      </c>
      <c r="D142">
        <v>1</v>
      </c>
      <c r="E142" s="1">
        <v>45700</v>
      </c>
      <c r="F142" t="s">
        <v>995</v>
      </c>
      <c r="G142" s="1">
        <v>47247</v>
      </c>
      <c r="H142" s="1">
        <v>45714</v>
      </c>
      <c r="I142" t="s">
        <v>732</v>
      </c>
      <c r="J142" s="1">
        <v>45720</v>
      </c>
      <c r="K142" t="s">
        <v>732</v>
      </c>
      <c r="M142">
        <v>6032079</v>
      </c>
      <c r="N142">
        <v>6000644</v>
      </c>
    </row>
    <row r="143" spans="1:14">
      <c r="A143">
        <v>159</v>
      </c>
      <c r="B143" t="s">
        <v>471</v>
      </c>
      <c r="C143" t="s">
        <v>962</v>
      </c>
      <c r="D143">
        <v>1</v>
      </c>
      <c r="E143" s="1">
        <v>45677</v>
      </c>
      <c r="F143" t="s">
        <v>936</v>
      </c>
      <c r="G143" s="1">
        <v>47219</v>
      </c>
      <c r="H143" s="1">
        <v>45678</v>
      </c>
      <c r="I143" t="s">
        <v>992</v>
      </c>
      <c r="J143" s="1">
        <v>45714</v>
      </c>
      <c r="K143" t="s">
        <v>732</v>
      </c>
      <c r="M143">
        <v>6032079</v>
      </c>
      <c r="N143">
        <v>6000644</v>
      </c>
    </row>
    <row r="144" spans="1:14">
      <c r="A144">
        <v>158</v>
      </c>
      <c r="B144" t="s">
        <v>327</v>
      </c>
      <c r="C144" t="s">
        <v>991</v>
      </c>
      <c r="D144">
        <v>1</v>
      </c>
      <c r="E144" s="1">
        <v>45677</v>
      </c>
      <c r="F144" t="s">
        <v>734</v>
      </c>
      <c r="G144" s="1">
        <v>46042</v>
      </c>
      <c r="H144" s="1">
        <v>45714</v>
      </c>
      <c r="I144" t="s">
        <v>732</v>
      </c>
      <c r="J144" s="1">
        <v>45861</v>
      </c>
      <c r="K144" t="s">
        <v>995</v>
      </c>
      <c r="L144" t="s">
        <v>990</v>
      </c>
      <c r="M144">
        <v>6032171</v>
      </c>
      <c r="N144">
        <v>16168382</v>
      </c>
    </row>
    <row r="145" spans="1:14">
      <c r="A145">
        <v>157</v>
      </c>
      <c r="B145" t="s">
        <v>424</v>
      </c>
      <c r="C145" t="s">
        <v>989</v>
      </c>
      <c r="D145">
        <v>1</v>
      </c>
      <c r="E145" s="1">
        <v>45677</v>
      </c>
      <c r="F145" t="s">
        <v>734</v>
      </c>
      <c r="G145" s="1">
        <v>46042</v>
      </c>
      <c r="H145" s="1">
        <v>45684</v>
      </c>
      <c r="I145" t="s">
        <v>993</v>
      </c>
      <c r="J145" s="1">
        <v>45727</v>
      </c>
      <c r="K145" t="s">
        <v>1011</v>
      </c>
      <c r="L145" t="s">
        <v>990</v>
      </c>
      <c r="M145">
        <v>6010275</v>
      </c>
      <c r="N145">
        <v>20066</v>
      </c>
    </row>
    <row r="146" spans="1:14">
      <c r="A146">
        <v>156</v>
      </c>
      <c r="B146" t="s">
        <v>821</v>
      </c>
      <c r="C146">
        <v>44090264</v>
      </c>
      <c r="D146">
        <v>1</v>
      </c>
      <c r="E146" s="1">
        <v>45609</v>
      </c>
      <c r="F146" t="s">
        <v>734</v>
      </c>
      <c r="G146" s="1">
        <v>46288</v>
      </c>
      <c r="H146" s="1">
        <v>45776</v>
      </c>
      <c r="I146" t="s">
        <v>732</v>
      </c>
      <c r="J146" s="1">
        <v>45895</v>
      </c>
      <c r="K146" t="s">
        <v>732</v>
      </c>
    </row>
    <row r="147" spans="1:14">
      <c r="A147">
        <v>155</v>
      </c>
      <c r="B147" t="s">
        <v>821</v>
      </c>
      <c r="C147">
        <v>44090264</v>
      </c>
      <c r="D147">
        <v>1</v>
      </c>
      <c r="E147" s="1">
        <v>45609</v>
      </c>
      <c r="F147" t="s">
        <v>734</v>
      </c>
      <c r="G147" s="1">
        <v>46288</v>
      </c>
      <c r="H147" s="1">
        <v>45650</v>
      </c>
      <c r="I147" t="s">
        <v>732</v>
      </c>
      <c r="J147" s="1">
        <v>45776</v>
      </c>
      <c r="K147" t="s">
        <v>732</v>
      </c>
      <c r="M147">
        <v>5006462</v>
      </c>
      <c r="N147" t="s">
        <v>745</v>
      </c>
    </row>
    <row r="148" spans="1:14">
      <c r="A148">
        <v>154</v>
      </c>
      <c r="B148" t="s">
        <v>984</v>
      </c>
      <c r="C148">
        <v>222293</v>
      </c>
      <c r="D148">
        <v>1</v>
      </c>
      <c r="E148" s="1">
        <v>45644</v>
      </c>
      <c r="F148" t="s">
        <v>734</v>
      </c>
      <c r="G148" s="1">
        <v>45966</v>
      </c>
      <c r="L148" t="s">
        <v>988</v>
      </c>
      <c r="M148">
        <v>6031525</v>
      </c>
      <c r="N148" t="s">
        <v>987</v>
      </c>
    </row>
    <row r="149" spans="1:14">
      <c r="A149">
        <v>153</v>
      </c>
      <c r="B149" t="s">
        <v>829</v>
      </c>
      <c r="C149" t="s">
        <v>983</v>
      </c>
      <c r="D149">
        <v>1</v>
      </c>
      <c r="E149" s="1">
        <v>45644</v>
      </c>
      <c r="F149" t="s">
        <v>734</v>
      </c>
      <c r="G149" s="1">
        <v>46170</v>
      </c>
      <c r="H149" s="1">
        <v>45910</v>
      </c>
      <c r="I149" t="s">
        <v>731</v>
      </c>
      <c r="L149" t="s">
        <v>982</v>
      </c>
      <c r="M149">
        <v>5006103</v>
      </c>
      <c r="N149" t="s">
        <v>290</v>
      </c>
    </row>
    <row r="150" spans="1:14">
      <c r="A150">
        <v>152</v>
      </c>
      <c r="B150" t="s">
        <v>330</v>
      </c>
      <c r="C150" t="s">
        <v>981</v>
      </c>
      <c r="D150">
        <v>1</v>
      </c>
      <c r="E150" s="1">
        <v>45644</v>
      </c>
      <c r="F150" t="s">
        <v>979</v>
      </c>
      <c r="G150" s="1">
        <v>46209</v>
      </c>
      <c r="H150" s="1">
        <v>45643</v>
      </c>
      <c r="I150" t="s">
        <v>731</v>
      </c>
      <c r="L150" t="s">
        <v>982</v>
      </c>
      <c r="M150">
        <v>5006077</v>
      </c>
      <c r="N150" t="s">
        <v>250</v>
      </c>
    </row>
    <row r="151" spans="1:14">
      <c r="A151">
        <v>151</v>
      </c>
      <c r="B151" t="s">
        <v>831</v>
      </c>
      <c r="C151" t="s">
        <v>973</v>
      </c>
      <c r="D151">
        <v>1</v>
      </c>
      <c r="E151" s="1">
        <v>45644</v>
      </c>
      <c r="F151" t="s">
        <v>936</v>
      </c>
      <c r="G151" s="1">
        <v>46157</v>
      </c>
      <c r="H151" s="1">
        <v>45905</v>
      </c>
      <c r="I151" t="s">
        <v>731</v>
      </c>
      <c r="L151" t="s">
        <v>980</v>
      </c>
      <c r="M151">
        <v>5007923</v>
      </c>
      <c r="N151" t="s">
        <v>265</v>
      </c>
    </row>
    <row r="152" spans="1:14">
      <c r="A152">
        <v>150</v>
      </c>
      <c r="B152" t="s">
        <v>489</v>
      </c>
      <c r="C152" t="s">
        <v>978</v>
      </c>
      <c r="D152">
        <v>1</v>
      </c>
      <c r="E152" s="1">
        <v>45636</v>
      </c>
      <c r="F152" t="s">
        <v>979</v>
      </c>
      <c r="G152" s="1">
        <v>45991</v>
      </c>
      <c r="H152" s="1">
        <v>45728</v>
      </c>
      <c r="I152" t="s">
        <v>731</v>
      </c>
      <c r="J152" s="1">
        <v>45964</v>
      </c>
      <c r="K152" t="s">
        <v>999</v>
      </c>
      <c r="L152" t="s">
        <v>963</v>
      </c>
      <c r="M152">
        <v>6006536</v>
      </c>
      <c r="N152">
        <v>361046247</v>
      </c>
    </row>
    <row r="153" spans="1:14">
      <c r="A153">
        <v>149</v>
      </c>
      <c r="B153" t="s">
        <v>471</v>
      </c>
      <c r="C153" t="s">
        <v>962</v>
      </c>
      <c r="D153">
        <v>1</v>
      </c>
      <c r="E153" s="1">
        <v>45636</v>
      </c>
      <c r="F153" t="s">
        <v>936</v>
      </c>
      <c r="G153" s="1">
        <v>47219</v>
      </c>
      <c r="H153" s="1">
        <v>45642</v>
      </c>
      <c r="I153" t="s">
        <v>731</v>
      </c>
      <c r="J153" s="1">
        <v>45678</v>
      </c>
      <c r="K153" t="s">
        <v>992</v>
      </c>
      <c r="L153" t="s">
        <v>977</v>
      </c>
      <c r="M153">
        <v>6032079</v>
      </c>
      <c r="N153">
        <v>6000644</v>
      </c>
    </row>
    <row r="154" spans="1:14">
      <c r="A154">
        <v>148</v>
      </c>
      <c r="B154" t="s">
        <v>830</v>
      </c>
      <c r="C154" t="s">
        <v>974</v>
      </c>
      <c r="D154">
        <v>1</v>
      </c>
      <c r="E154" s="1">
        <v>45054</v>
      </c>
      <c r="F154" t="s">
        <v>729</v>
      </c>
      <c r="G154" s="1">
        <v>45510</v>
      </c>
      <c r="H154" s="1">
        <v>45251</v>
      </c>
      <c r="I154" t="s">
        <v>731</v>
      </c>
      <c r="M154">
        <v>5007922</v>
      </c>
      <c r="N154" t="s">
        <v>272</v>
      </c>
    </row>
    <row r="155" spans="1:14">
      <c r="A155">
        <v>147</v>
      </c>
      <c r="B155" t="s">
        <v>831</v>
      </c>
      <c r="C155" t="s">
        <v>973</v>
      </c>
      <c r="D155">
        <v>1</v>
      </c>
      <c r="E155" s="1">
        <v>45480</v>
      </c>
      <c r="F155" t="s">
        <v>734</v>
      </c>
      <c r="G155" s="1">
        <v>46188</v>
      </c>
      <c r="H155" s="1">
        <v>45555</v>
      </c>
      <c r="I155" t="s">
        <v>732</v>
      </c>
      <c r="J155" s="1">
        <v>45905</v>
      </c>
      <c r="K155" t="s">
        <v>731</v>
      </c>
      <c r="M155">
        <v>5007923</v>
      </c>
      <c r="N155" t="s">
        <v>265</v>
      </c>
    </row>
    <row r="156" spans="1:14">
      <c r="A156">
        <v>146</v>
      </c>
      <c r="B156" t="s">
        <v>466</v>
      </c>
      <c r="C156" t="s">
        <v>850</v>
      </c>
      <c r="D156">
        <v>1</v>
      </c>
      <c r="E156" s="1">
        <v>45617</v>
      </c>
      <c r="F156" t="s">
        <v>734</v>
      </c>
      <c r="G156" s="1">
        <v>46117</v>
      </c>
      <c r="H156" s="1">
        <v>45852</v>
      </c>
      <c r="I156" t="s">
        <v>731</v>
      </c>
      <c r="J156" s="1">
        <v>45940</v>
      </c>
      <c r="K156" t="s">
        <v>993</v>
      </c>
      <c r="L156" t="s">
        <v>971</v>
      </c>
      <c r="M156">
        <v>5006955</v>
      </c>
      <c r="N156" t="s">
        <v>300</v>
      </c>
    </row>
    <row r="157" spans="1:14">
      <c r="A157">
        <v>145</v>
      </c>
      <c r="B157" t="s">
        <v>455</v>
      </c>
      <c r="C157">
        <v>1452301</v>
      </c>
      <c r="D157">
        <v>1</v>
      </c>
      <c r="E157" s="1">
        <v>45617</v>
      </c>
      <c r="F157" t="s">
        <v>734</v>
      </c>
      <c r="G157" s="1">
        <v>46069</v>
      </c>
      <c r="H157" s="1">
        <v>45678</v>
      </c>
      <c r="I157" t="s">
        <v>731</v>
      </c>
      <c r="J157" s="1">
        <v>45678</v>
      </c>
      <c r="K157" t="s">
        <v>731</v>
      </c>
    </row>
    <row r="158" spans="1:14">
      <c r="A158">
        <v>144</v>
      </c>
      <c r="B158" t="s">
        <v>455</v>
      </c>
      <c r="C158">
        <v>1452301</v>
      </c>
      <c r="D158">
        <v>1</v>
      </c>
      <c r="E158" s="1">
        <v>45617</v>
      </c>
      <c r="F158" t="s">
        <v>734</v>
      </c>
      <c r="G158" s="1">
        <v>46069</v>
      </c>
      <c r="H158" s="1">
        <v>45635</v>
      </c>
      <c r="I158" t="s">
        <v>731</v>
      </c>
      <c r="J158" s="1">
        <v>45635</v>
      </c>
      <c r="K158" t="s">
        <v>731</v>
      </c>
      <c r="L158" t="s">
        <v>971</v>
      </c>
      <c r="M158">
        <v>5006622</v>
      </c>
      <c r="N158" t="s">
        <v>231</v>
      </c>
    </row>
    <row r="159" spans="1:14">
      <c r="A159">
        <v>143</v>
      </c>
      <c r="B159" t="s">
        <v>424</v>
      </c>
      <c r="C159" t="s">
        <v>970</v>
      </c>
      <c r="D159">
        <v>1</v>
      </c>
      <c r="E159" s="1">
        <v>45608</v>
      </c>
      <c r="F159" t="s">
        <v>734</v>
      </c>
      <c r="G159" s="1">
        <v>45973</v>
      </c>
      <c r="H159" s="1">
        <v>45649</v>
      </c>
      <c r="I159" t="s">
        <v>732</v>
      </c>
      <c r="J159" s="1">
        <v>45684</v>
      </c>
      <c r="K159" t="s">
        <v>993</v>
      </c>
      <c r="M159">
        <v>6010275</v>
      </c>
      <c r="N159">
        <v>20066</v>
      </c>
    </row>
    <row r="160" spans="1:14">
      <c r="A160">
        <v>142</v>
      </c>
      <c r="B160" t="s">
        <v>795</v>
      </c>
      <c r="C160">
        <v>3552002</v>
      </c>
      <c r="D160">
        <v>1</v>
      </c>
      <c r="E160" s="1">
        <v>45608</v>
      </c>
      <c r="F160" t="s">
        <v>734</v>
      </c>
      <c r="G160" s="1">
        <v>45973</v>
      </c>
      <c r="H160" s="1">
        <v>45684</v>
      </c>
      <c r="I160" t="s">
        <v>731</v>
      </c>
      <c r="J160" s="1">
        <v>45727</v>
      </c>
      <c r="K160" t="s">
        <v>1011</v>
      </c>
      <c r="M160">
        <v>6010225</v>
      </c>
      <c r="N160">
        <v>16170713</v>
      </c>
    </row>
    <row r="161" spans="1:14">
      <c r="A161">
        <v>141</v>
      </c>
      <c r="B161" t="s">
        <v>327</v>
      </c>
      <c r="C161" t="s">
        <v>969</v>
      </c>
      <c r="D161">
        <v>1</v>
      </c>
      <c r="E161" s="1">
        <v>45608</v>
      </c>
      <c r="F161" t="s">
        <v>734</v>
      </c>
      <c r="G161" s="1">
        <v>45973</v>
      </c>
      <c r="H161" s="1">
        <v>45656</v>
      </c>
      <c r="I161" t="s">
        <v>734</v>
      </c>
      <c r="J161" s="1">
        <v>45714</v>
      </c>
      <c r="K161" t="s">
        <v>732</v>
      </c>
      <c r="M161">
        <v>6032171</v>
      </c>
      <c r="N161">
        <v>16168382</v>
      </c>
    </row>
    <row r="162" spans="1:14">
      <c r="A162">
        <v>140</v>
      </c>
      <c r="B162" t="s">
        <v>471</v>
      </c>
      <c r="C162" t="s">
        <v>962</v>
      </c>
      <c r="D162">
        <v>1</v>
      </c>
      <c r="E162" s="1">
        <v>45603</v>
      </c>
      <c r="F162" t="s">
        <v>734</v>
      </c>
      <c r="G162" s="1">
        <v>47219</v>
      </c>
      <c r="H162" s="1">
        <v>45615</v>
      </c>
      <c r="I162" t="s">
        <v>732</v>
      </c>
      <c r="J162" s="1">
        <v>45642</v>
      </c>
      <c r="K162" t="s">
        <v>731</v>
      </c>
      <c r="L162" t="s">
        <v>963</v>
      </c>
      <c r="M162">
        <v>6032079</v>
      </c>
      <c r="N162">
        <v>6000644</v>
      </c>
    </row>
    <row r="163" spans="1:14">
      <c r="A163">
        <v>139</v>
      </c>
      <c r="B163" t="s">
        <v>327</v>
      </c>
      <c r="C163" t="s">
        <v>961</v>
      </c>
      <c r="D163">
        <v>1</v>
      </c>
      <c r="E163" s="1">
        <v>45590</v>
      </c>
      <c r="F163" t="s">
        <v>734</v>
      </c>
      <c r="G163" s="1">
        <v>45590</v>
      </c>
      <c r="H163" s="1">
        <v>45590</v>
      </c>
      <c r="I163" t="s">
        <v>732</v>
      </c>
      <c r="J163" s="1">
        <v>45656</v>
      </c>
      <c r="K163" t="s">
        <v>734</v>
      </c>
      <c r="M163">
        <v>6032171</v>
      </c>
      <c r="N163">
        <v>16168382</v>
      </c>
    </row>
    <row r="164" spans="1:14">
      <c r="A164">
        <v>138</v>
      </c>
      <c r="B164" t="s">
        <v>896</v>
      </c>
      <c r="C164" t="s">
        <v>959</v>
      </c>
      <c r="D164">
        <v>1</v>
      </c>
      <c r="E164" s="1">
        <v>45588</v>
      </c>
      <c r="F164" t="s">
        <v>734</v>
      </c>
      <c r="G164" s="1">
        <v>46507</v>
      </c>
      <c r="H164" s="1">
        <v>45588</v>
      </c>
      <c r="I164" t="s">
        <v>734</v>
      </c>
      <c r="L164" t="s">
        <v>960</v>
      </c>
      <c r="M164">
        <v>5009119</v>
      </c>
      <c r="N164">
        <v>60050009</v>
      </c>
    </row>
    <row r="165" spans="1:14">
      <c r="A165">
        <v>137</v>
      </c>
      <c r="B165" t="s">
        <v>490</v>
      </c>
      <c r="C165">
        <v>232569</v>
      </c>
      <c r="D165">
        <v>1</v>
      </c>
      <c r="E165" s="1">
        <v>45576</v>
      </c>
      <c r="F165" t="s">
        <v>734</v>
      </c>
      <c r="G165" s="1">
        <v>45899</v>
      </c>
    </row>
    <row r="166" spans="1:14">
      <c r="A166">
        <v>136</v>
      </c>
      <c r="B166" t="s">
        <v>490</v>
      </c>
      <c r="C166">
        <v>232569</v>
      </c>
      <c r="D166">
        <v>1</v>
      </c>
      <c r="E166" s="1">
        <v>45576</v>
      </c>
      <c r="F166" t="s">
        <v>734</v>
      </c>
      <c r="G166" s="1">
        <v>45899</v>
      </c>
    </row>
    <row r="167" spans="1:14">
      <c r="A167">
        <v>135</v>
      </c>
      <c r="B167" t="s">
        <v>490</v>
      </c>
      <c r="C167">
        <v>232569</v>
      </c>
      <c r="D167">
        <v>1</v>
      </c>
      <c r="E167" s="1">
        <v>45576</v>
      </c>
      <c r="F167" t="s">
        <v>734</v>
      </c>
      <c r="G167" s="1">
        <v>45899</v>
      </c>
    </row>
    <row r="168" spans="1:14">
      <c r="A168">
        <v>134</v>
      </c>
      <c r="B168" t="s">
        <v>490</v>
      </c>
      <c r="C168">
        <v>232569</v>
      </c>
      <c r="D168">
        <v>1</v>
      </c>
      <c r="E168" s="1">
        <v>45576</v>
      </c>
      <c r="F168" t="s">
        <v>734</v>
      </c>
      <c r="G168" s="1">
        <v>45899</v>
      </c>
      <c r="L168" t="s">
        <v>958</v>
      </c>
      <c r="M168">
        <v>6006599</v>
      </c>
      <c r="N168" t="s">
        <v>263</v>
      </c>
    </row>
    <row r="169" spans="1:14">
      <c r="A169">
        <v>133</v>
      </c>
      <c r="B169" t="s">
        <v>791</v>
      </c>
      <c r="C169" t="s">
        <v>956</v>
      </c>
      <c r="D169">
        <v>1</v>
      </c>
      <c r="E169" s="1">
        <v>45574</v>
      </c>
      <c r="F169" t="s">
        <v>734</v>
      </c>
      <c r="G169" s="1">
        <v>46697</v>
      </c>
      <c r="H169" s="1">
        <v>45617</v>
      </c>
      <c r="I169" t="s">
        <v>731</v>
      </c>
      <c r="J169" s="1">
        <v>45890</v>
      </c>
      <c r="K169" t="s">
        <v>731</v>
      </c>
      <c r="L169" t="s">
        <v>957</v>
      </c>
      <c r="M169">
        <v>6010132</v>
      </c>
      <c r="N169" t="s">
        <v>238</v>
      </c>
    </row>
    <row r="170" spans="1:14">
      <c r="A170">
        <v>132</v>
      </c>
      <c r="B170" t="s">
        <v>839</v>
      </c>
      <c r="C170">
        <v>1451169</v>
      </c>
      <c r="D170">
        <v>1</v>
      </c>
      <c r="E170" s="1">
        <v>45574</v>
      </c>
      <c r="F170" t="s">
        <v>734</v>
      </c>
      <c r="G170" s="1">
        <v>46843</v>
      </c>
    </row>
    <row r="171" spans="1:14">
      <c r="A171">
        <v>131</v>
      </c>
      <c r="B171" t="s">
        <v>839</v>
      </c>
      <c r="C171">
        <v>1451169</v>
      </c>
      <c r="D171">
        <v>1</v>
      </c>
      <c r="E171" s="1">
        <v>45574</v>
      </c>
      <c r="F171" t="s">
        <v>734</v>
      </c>
      <c r="G171" s="1">
        <v>46843</v>
      </c>
      <c r="L171" t="s">
        <v>954</v>
      </c>
      <c r="M171">
        <v>5003427</v>
      </c>
      <c r="N171" t="s">
        <v>251</v>
      </c>
    </row>
    <row r="172" spans="1:14">
      <c r="A172">
        <v>130</v>
      </c>
      <c r="B172" t="s">
        <v>832</v>
      </c>
      <c r="C172" t="s">
        <v>955</v>
      </c>
      <c r="D172">
        <v>1</v>
      </c>
      <c r="E172" s="1">
        <v>45574</v>
      </c>
      <c r="F172" t="s">
        <v>734</v>
      </c>
      <c r="G172" s="1">
        <v>46187</v>
      </c>
      <c r="H172" s="1">
        <v>45642</v>
      </c>
      <c r="I172" t="s">
        <v>732</v>
      </c>
      <c r="L172" t="s">
        <v>954</v>
      </c>
      <c r="M172">
        <v>5007924</v>
      </c>
      <c r="N172" t="s">
        <v>296</v>
      </c>
    </row>
    <row r="173" spans="1:14">
      <c r="A173">
        <v>129</v>
      </c>
      <c r="B173" t="s">
        <v>819</v>
      </c>
      <c r="C173" t="s">
        <v>938</v>
      </c>
      <c r="D173">
        <v>1</v>
      </c>
      <c r="E173" s="1">
        <v>45574</v>
      </c>
      <c r="F173" t="s">
        <v>734</v>
      </c>
      <c r="G173" s="1">
        <v>46112</v>
      </c>
      <c r="H173" s="1">
        <v>45691</v>
      </c>
      <c r="I173" t="s">
        <v>992</v>
      </c>
      <c r="J173" s="1">
        <v>45782</v>
      </c>
      <c r="K173" t="s">
        <v>732</v>
      </c>
      <c r="L173" t="s">
        <v>954</v>
      </c>
      <c r="M173">
        <v>5005795</v>
      </c>
      <c r="N173" t="s">
        <v>266</v>
      </c>
    </row>
    <row r="174" spans="1:14">
      <c r="A174">
        <v>128</v>
      </c>
      <c r="B174" t="s">
        <v>820</v>
      </c>
      <c r="C174" t="s">
        <v>881</v>
      </c>
      <c r="D174">
        <v>1</v>
      </c>
      <c r="E174" s="1">
        <v>45574</v>
      </c>
      <c r="F174" t="s">
        <v>734</v>
      </c>
      <c r="G174" s="1">
        <v>46047</v>
      </c>
      <c r="H174" s="1">
        <v>45671</v>
      </c>
      <c r="I174" t="s">
        <v>732</v>
      </c>
      <c r="J174" s="1">
        <v>45709</v>
      </c>
      <c r="K174" t="s">
        <v>731</v>
      </c>
      <c r="L174" t="s">
        <v>954</v>
      </c>
      <c r="M174">
        <v>5005808</v>
      </c>
      <c r="N174" t="s">
        <v>249</v>
      </c>
    </row>
    <row r="175" spans="1:14">
      <c r="A175">
        <v>127</v>
      </c>
      <c r="B175" t="s">
        <v>471</v>
      </c>
      <c r="C175" t="s">
        <v>871</v>
      </c>
      <c r="D175">
        <v>1</v>
      </c>
      <c r="E175" s="1">
        <v>45574</v>
      </c>
      <c r="F175" t="s">
        <v>734</v>
      </c>
      <c r="G175" s="1">
        <v>47050</v>
      </c>
      <c r="H175" s="1">
        <v>45593</v>
      </c>
      <c r="I175" t="s">
        <v>732</v>
      </c>
      <c r="J175" s="1">
        <v>45615</v>
      </c>
      <c r="K175" t="s">
        <v>732</v>
      </c>
      <c r="L175" t="s">
        <v>953</v>
      </c>
      <c r="M175">
        <v>6032079</v>
      </c>
      <c r="N175">
        <v>6000644</v>
      </c>
    </row>
    <row r="176" spans="1:14">
      <c r="A176">
        <v>126</v>
      </c>
      <c r="B176" t="s">
        <v>461</v>
      </c>
      <c r="C176">
        <v>235425</v>
      </c>
      <c r="D176">
        <v>1</v>
      </c>
      <c r="E176" s="1">
        <v>45574</v>
      </c>
      <c r="F176" t="s">
        <v>734</v>
      </c>
      <c r="G176" s="1">
        <v>46356</v>
      </c>
      <c r="H176" s="1">
        <v>45601</v>
      </c>
      <c r="I176" t="s">
        <v>734</v>
      </c>
      <c r="J176" s="1">
        <v>45707</v>
      </c>
      <c r="K176" t="s">
        <v>731</v>
      </c>
      <c r="L176" t="s">
        <v>953</v>
      </c>
      <c r="M176">
        <v>4230436</v>
      </c>
      <c r="N176" t="s">
        <v>256</v>
      </c>
    </row>
    <row r="177" spans="1:14">
      <c r="A177">
        <v>125</v>
      </c>
      <c r="B177" t="s">
        <v>53</v>
      </c>
      <c r="C177" t="s">
        <v>951</v>
      </c>
      <c r="D177">
        <v>1</v>
      </c>
      <c r="E177" s="1">
        <v>45480</v>
      </c>
      <c r="F177" t="s">
        <v>734</v>
      </c>
      <c r="G177" s="1">
        <v>46811</v>
      </c>
      <c r="H177" s="1">
        <v>45693</v>
      </c>
      <c r="I177" t="s">
        <v>731</v>
      </c>
      <c r="J177" s="1">
        <v>45890</v>
      </c>
      <c r="K177" t="s">
        <v>731</v>
      </c>
      <c r="M177">
        <v>5003463</v>
      </c>
      <c r="N177" t="s">
        <v>248</v>
      </c>
    </row>
    <row r="178" spans="1:14">
      <c r="A178">
        <v>124</v>
      </c>
      <c r="B178" t="s">
        <v>330</v>
      </c>
      <c r="C178" t="s">
        <v>950</v>
      </c>
      <c r="D178">
        <v>1</v>
      </c>
      <c r="E178" s="1">
        <v>45480</v>
      </c>
      <c r="F178" t="s">
        <v>734</v>
      </c>
      <c r="G178" s="1">
        <v>45886</v>
      </c>
      <c r="H178" s="1">
        <v>45582</v>
      </c>
      <c r="I178" t="s">
        <v>731</v>
      </c>
      <c r="J178" s="1">
        <v>45643</v>
      </c>
      <c r="K178" t="s">
        <v>731</v>
      </c>
      <c r="M178">
        <v>5006077</v>
      </c>
      <c r="N178" t="s">
        <v>250</v>
      </c>
    </row>
    <row r="179" spans="1:14">
      <c r="A179">
        <v>123</v>
      </c>
      <c r="B179" t="s">
        <v>484</v>
      </c>
      <c r="C179">
        <v>242043</v>
      </c>
      <c r="D179">
        <v>1</v>
      </c>
      <c r="E179" s="1">
        <v>45560</v>
      </c>
      <c r="F179" t="s">
        <v>734</v>
      </c>
      <c r="G179" s="1">
        <v>46203</v>
      </c>
      <c r="H179" s="1">
        <v>45666</v>
      </c>
      <c r="I179" t="s">
        <v>731</v>
      </c>
      <c r="L179" t="s">
        <v>949</v>
      </c>
      <c r="M179">
        <v>6041021</v>
      </c>
      <c r="N179" t="s">
        <v>297</v>
      </c>
    </row>
    <row r="180" spans="1:14">
      <c r="A180">
        <v>122</v>
      </c>
      <c r="B180" t="s">
        <v>471</v>
      </c>
      <c r="C180" t="s">
        <v>871</v>
      </c>
      <c r="D180">
        <v>1</v>
      </c>
      <c r="E180" s="1">
        <v>45560</v>
      </c>
      <c r="F180" t="s">
        <v>734</v>
      </c>
      <c r="G180" s="1">
        <v>47050</v>
      </c>
      <c r="H180" s="1">
        <v>45537</v>
      </c>
      <c r="I180" t="s">
        <v>731</v>
      </c>
      <c r="J180" s="1">
        <v>45589</v>
      </c>
      <c r="K180" t="s">
        <v>732</v>
      </c>
      <c r="L180" t="s">
        <v>949</v>
      </c>
      <c r="M180">
        <v>6032079</v>
      </c>
      <c r="N180">
        <v>6000644</v>
      </c>
    </row>
    <row r="181" spans="1:14">
      <c r="A181">
        <v>121</v>
      </c>
      <c r="B181" t="s">
        <v>424</v>
      </c>
      <c r="C181">
        <v>3501083</v>
      </c>
      <c r="D181">
        <v>1</v>
      </c>
      <c r="E181" s="1">
        <v>45551</v>
      </c>
      <c r="F181" t="s">
        <v>734</v>
      </c>
      <c r="G181" s="1">
        <v>45916</v>
      </c>
      <c r="H181" s="1">
        <v>45587</v>
      </c>
      <c r="I181" t="s">
        <v>734</v>
      </c>
      <c r="J181" s="1">
        <v>45649</v>
      </c>
      <c r="K181" t="s">
        <v>732</v>
      </c>
      <c r="L181" t="s">
        <v>948</v>
      </c>
      <c r="M181">
        <v>6010275</v>
      </c>
      <c r="N181">
        <v>20066</v>
      </c>
    </row>
    <row r="182" spans="1:14">
      <c r="A182">
        <v>120</v>
      </c>
      <c r="B182" t="s">
        <v>795</v>
      </c>
      <c r="C182">
        <v>3520923</v>
      </c>
      <c r="D182">
        <v>1</v>
      </c>
      <c r="E182" s="1">
        <v>45551</v>
      </c>
      <c r="F182" t="s">
        <v>734</v>
      </c>
      <c r="G182" s="1">
        <v>45916</v>
      </c>
      <c r="H182" s="1">
        <v>45568</v>
      </c>
      <c r="I182" t="s">
        <v>734</v>
      </c>
      <c r="J182" s="1">
        <v>45684</v>
      </c>
      <c r="K182" t="s">
        <v>731</v>
      </c>
      <c r="L182" t="s">
        <v>948</v>
      </c>
      <c r="M182">
        <v>6010225</v>
      </c>
      <c r="N182">
        <v>16170713</v>
      </c>
    </row>
    <row r="183" spans="1:14">
      <c r="A183">
        <v>119</v>
      </c>
      <c r="B183" t="s">
        <v>489</v>
      </c>
      <c r="C183" t="s">
        <v>947</v>
      </c>
      <c r="D183">
        <v>1</v>
      </c>
      <c r="E183" s="1">
        <v>45544</v>
      </c>
      <c r="F183" t="s">
        <v>734</v>
      </c>
      <c r="G183" s="1">
        <v>45838</v>
      </c>
      <c r="H183" s="1">
        <v>45565</v>
      </c>
      <c r="I183" t="s">
        <v>731</v>
      </c>
      <c r="J183" s="1">
        <v>45728</v>
      </c>
      <c r="K183" t="s">
        <v>731</v>
      </c>
      <c r="M183">
        <v>6006536</v>
      </c>
      <c r="N183">
        <v>361046247</v>
      </c>
    </row>
    <row r="184" spans="1:14">
      <c r="A184">
        <v>118</v>
      </c>
      <c r="B184" t="s">
        <v>471</v>
      </c>
      <c r="C184" t="s">
        <v>871</v>
      </c>
      <c r="D184">
        <v>1</v>
      </c>
      <c r="E184" s="1">
        <v>45533</v>
      </c>
      <c r="F184" t="s">
        <v>734</v>
      </c>
      <c r="G184" s="1">
        <v>47050</v>
      </c>
      <c r="H184" s="1">
        <v>45533</v>
      </c>
      <c r="I184" t="s">
        <v>731</v>
      </c>
      <c r="J184" s="1">
        <v>45565</v>
      </c>
      <c r="K184" t="s">
        <v>731</v>
      </c>
      <c r="L184" t="s">
        <v>946</v>
      </c>
      <c r="M184">
        <v>6032079</v>
      </c>
      <c r="N184">
        <v>6000644</v>
      </c>
    </row>
    <row r="185" spans="1:14">
      <c r="A185">
        <v>117</v>
      </c>
      <c r="B185" t="s">
        <v>944</v>
      </c>
      <c r="C185" t="s">
        <v>943</v>
      </c>
      <c r="D185">
        <v>1</v>
      </c>
      <c r="E185" s="1">
        <v>45525</v>
      </c>
      <c r="F185" t="s">
        <v>734</v>
      </c>
      <c r="G185" s="1">
        <v>46066</v>
      </c>
      <c r="H185" s="1">
        <v>45568</v>
      </c>
      <c r="I185" t="s">
        <v>731</v>
      </c>
      <c r="L185" t="s">
        <v>937</v>
      </c>
      <c r="M185">
        <v>5003394</v>
      </c>
      <c r="N185" t="s">
        <v>940</v>
      </c>
    </row>
    <row r="186" spans="1:14">
      <c r="A186">
        <v>116</v>
      </c>
      <c r="B186" t="s">
        <v>830</v>
      </c>
      <c r="C186" t="s">
        <v>939</v>
      </c>
      <c r="D186">
        <v>1</v>
      </c>
      <c r="E186" s="1">
        <v>45525</v>
      </c>
      <c r="F186" t="s">
        <v>734</v>
      </c>
      <c r="G186" s="1">
        <v>46187</v>
      </c>
      <c r="H186" s="1">
        <v>45665</v>
      </c>
      <c r="I186" t="s">
        <v>731</v>
      </c>
      <c r="J186" s="1"/>
      <c r="L186" t="s">
        <v>937</v>
      </c>
      <c r="M186">
        <v>5007922</v>
      </c>
      <c r="N186" t="s">
        <v>272</v>
      </c>
    </row>
    <row r="187" spans="1:14">
      <c r="A187">
        <v>115</v>
      </c>
      <c r="B187" t="s">
        <v>819</v>
      </c>
      <c r="C187" t="s">
        <v>938</v>
      </c>
      <c r="D187">
        <v>1</v>
      </c>
      <c r="E187" s="1">
        <v>45525</v>
      </c>
      <c r="F187" t="s">
        <v>734</v>
      </c>
      <c r="G187" s="1">
        <v>46112</v>
      </c>
      <c r="H187" s="1">
        <v>45616</v>
      </c>
      <c r="I187" t="s">
        <v>731</v>
      </c>
      <c r="J187" s="1">
        <v>45691</v>
      </c>
      <c r="K187" t="s">
        <v>992</v>
      </c>
      <c r="L187" t="s">
        <v>937</v>
      </c>
      <c r="M187">
        <v>5005795</v>
      </c>
      <c r="N187" t="s">
        <v>266</v>
      </c>
    </row>
    <row r="188" spans="1:14">
      <c r="A188">
        <v>114</v>
      </c>
      <c r="B188" t="s">
        <v>820</v>
      </c>
      <c r="C188" t="s">
        <v>881</v>
      </c>
      <c r="D188">
        <v>1</v>
      </c>
      <c r="E188" s="1">
        <v>45525</v>
      </c>
      <c r="F188" t="s">
        <v>734</v>
      </c>
      <c r="G188" s="1">
        <v>46047</v>
      </c>
      <c r="H188" s="1">
        <v>45586</v>
      </c>
      <c r="I188" t="s">
        <v>731</v>
      </c>
      <c r="J188" s="1">
        <v>45671</v>
      </c>
      <c r="K188" t="s">
        <v>732</v>
      </c>
      <c r="L188" t="s">
        <v>937</v>
      </c>
      <c r="M188">
        <v>5005808</v>
      </c>
      <c r="N188" t="s">
        <v>249</v>
      </c>
    </row>
    <row r="189" spans="1:14">
      <c r="A189">
        <v>113</v>
      </c>
      <c r="B189" t="s">
        <v>455</v>
      </c>
      <c r="C189">
        <v>1452301</v>
      </c>
      <c r="D189">
        <v>1</v>
      </c>
      <c r="E189" s="1">
        <v>45513</v>
      </c>
      <c r="F189" t="s">
        <v>729</v>
      </c>
      <c r="G189" s="1">
        <v>46069</v>
      </c>
      <c r="H189" s="1">
        <v>45594</v>
      </c>
      <c r="I189" t="s">
        <v>732</v>
      </c>
      <c r="J189" s="1">
        <v>45594</v>
      </c>
      <c r="K189" t="s">
        <v>732</v>
      </c>
    </row>
    <row r="190" spans="1:14">
      <c r="A190">
        <v>112</v>
      </c>
      <c r="B190" t="s">
        <v>455</v>
      </c>
      <c r="C190">
        <v>1452301</v>
      </c>
      <c r="D190">
        <v>1</v>
      </c>
      <c r="E190" s="1">
        <v>45513</v>
      </c>
      <c r="F190" t="s">
        <v>729</v>
      </c>
      <c r="G190" s="1">
        <v>46069</v>
      </c>
      <c r="H190" s="1">
        <v>45526</v>
      </c>
      <c r="I190" t="s">
        <v>729</v>
      </c>
      <c r="J190" s="1">
        <v>45594</v>
      </c>
      <c r="K190" t="s">
        <v>972</v>
      </c>
      <c r="L190" t="s">
        <v>935</v>
      </c>
      <c r="M190">
        <v>5006622</v>
      </c>
      <c r="N190" t="s">
        <v>231</v>
      </c>
    </row>
    <row r="191" spans="1:14">
      <c r="A191">
        <v>111</v>
      </c>
      <c r="B191" t="s">
        <v>795</v>
      </c>
      <c r="C191">
        <v>3520923</v>
      </c>
      <c r="D191">
        <v>1</v>
      </c>
      <c r="E191" s="1">
        <v>45513</v>
      </c>
      <c r="F191" t="s">
        <v>729</v>
      </c>
      <c r="G191" s="1">
        <v>45878</v>
      </c>
      <c r="H191" s="1">
        <v>45534</v>
      </c>
      <c r="I191" t="s">
        <v>732</v>
      </c>
      <c r="J191" s="1">
        <v>45568</v>
      </c>
      <c r="K191" t="s">
        <v>734</v>
      </c>
      <c r="L191" t="s">
        <v>933</v>
      </c>
      <c r="M191">
        <v>6010225</v>
      </c>
      <c r="N191">
        <v>16170713</v>
      </c>
    </row>
    <row r="192" spans="1:14">
      <c r="A192">
        <v>110</v>
      </c>
      <c r="B192" t="s">
        <v>473</v>
      </c>
      <c r="C192" t="s">
        <v>934</v>
      </c>
      <c r="D192">
        <v>1</v>
      </c>
      <c r="E192" s="1">
        <v>45513</v>
      </c>
      <c r="F192" t="s">
        <v>729</v>
      </c>
      <c r="G192" s="1">
        <v>45878</v>
      </c>
      <c r="H192" s="1">
        <v>45901</v>
      </c>
      <c r="I192" t="s">
        <v>731</v>
      </c>
      <c r="L192" t="s">
        <v>933</v>
      </c>
      <c r="M192">
        <v>6010249</v>
      </c>
      <c r="N192">
        <v>16053485</v>
      </c>
    </row>
    <row r="193" spans="1:14">
      <c r="A193">
        <v>109</v>
      </c>
      <c r="B193" t="s">
        <v>327</v>
      </c>
      <c r="C193">
        <v>3581031</v>
      </c>
      <c r="D193">
        <v>1</v>
      </c>
      <c r="E193" s="1">
        <v>45513</v>
      </c>
      <c r="F193" t="s">
        <v>729</v>
      </c>
      <c r="G193" s="1">
        <v>45878</v>
      </c>
      <c r="H193" s="1">
        <v>45519</v>
      </c>
      <c r="I193" t="s">
        <v>734</v>
      </c>
      <c r="J193" s="1">
        <v>45589</v>
      </c>
      <c r="K193" t="s">
        <v>732</v>
      </c>
      <c r="L193" t="s">
        <v>933</v>
      </c>
      <c r="M193">
        <v>6032171</v>
      </c>
      <c r="N193">
        <v>16168382</v>
      </c>
    </row>
    <row r="194" spans="1:14">
      <c r="A194">
        <v>108</v>
      </c>
      <c r="B194" t="s">
        <v>791</v>
      </c>
      <c r="C194" t="s">
        <v>931</v>
      </c>
      <c r="D194">
        <v>1</v>
      </c>
      <c r="E194" s="1">
        <v>45511</v>
      </c>
      <c r="F194" t="s">
        <v>729</v>
      </c>
      <c r="G194" s="1">
        <v>46551</v>
      </c>
      <c r="H194" s="1">
        <v>45537</v>
      </c>
      <c r="I194" t="s">
        <v>731</v>
      </c>
      <c r="J194" s="1">
        <v>45617</v>
      </c>
      <c r="K194" t="s">
        <v>731</v>
      </c>
      <c r="L194" t="s">
        <v>932</v>
      </c>
      <c r="M194">
        <v>6010132</v>
      </c>
      <c r="N194" t="s">
        <v>238</v>
      </c>
    </row>
    <row r="195" spans="1:14">
      <c r="A195">
        <v>107</v>
      </c>
      <c r="B195" t="s">
        <v>471</v>
      </c>
      <c r="C195" t="s">
        <v>871</v>
      </c>
      <c r="D195">
        <v>1</v>
      </c>
      <c r="E195" s="1">
        <v>45503</v>
      </c>
      <c r="F195" t="s">
        <v>734</v>
      </c>
      <c r="G195" s="1">
        <v>47050</v>
      </c>
      <c r="H195" s="1">
        <v>45519</v>
      </c>
      <c r="I195" t="s">
        <v>731</v>
      </c>
      <c r="J195" s="1">
        <v>45533</v>
      </c>
      <c r="K195" t="s">
        <v>731</v>
      </c>
    </row>
    <row r="196" spans="1:14">
      <c r="A196">
        <v>106</v>
      </c>
      <c r="B196" t="s">
        <v>471</v>
      </c>
      <c r="C196" t="s">
        <v>871</v>
      </c>
      <c r="D196">
        <v>1</v>
      </c>
      <c r="E196" s="1">
        <v>45503</v>
      </c>
      <c r="F196" t="s">
        <v>734</v>
      </c>
      <c r="G196" s="1">
        <v>47050</v>
      </c>
      <c r="H196" s="1">
        <v>45503</v>
      </c>
      <c r="I196" t="s">
        <v>732</v>
      </c>
      <c r="J196" s="1">
        <v>45518</v>
      </c>
      <c r="K196" t="s">
        <v>731</v>
      </c>
      <c r="L196" t="s">
        <v>930</v>
      </c>
      <c r="M196">
        <v>6032079</v>
      </c>
      <c r="N196">
        <v>6000644</v>
      </c>
    </row>
    <row r="197" spans="1:14">
      <c r="A197">
        <v>105</v>
      </c>
      <c r="B197" t="s">
        <v>821</v>
      </c>
      <c r="C197">
        <v>43040033</v>
      </c>
      <c r="D197">
        <v>1</v>
      </c>
      <c r="E197" s="1">
        <v>45300</v>
      </c>
      <c r="F197" t="s">
        <v>734</v>
      </c>
      <c r="G197" s="1">
        <v>45761</v>
      </c>
      <c r="H197" s="1">
        <v>45552</v>
      </c>
      <c r="I197" t="s">
        <v>732</v>
      </c>
      <c r="J197" s="1">
        <v>45650</v>
      </c>
      <c r="K197" t="s">
        <v>732</v>
      </c>
      <c r="M197">
        <v>5006462</v>
      </c>
      <c r="N197" t="s">
        <v>745</v>
      </c>
    </row>
    <row r="198" spans="1:14">
      <c r="A198">
        <v>104</v>
      </c>
      <c r="B198" t="s">
        <v>820</v>
      </c>
      <c r="C198" t="s">
        <v>881</v>
      </c>
      <c r="D198">
        <v>1</v>
      </c>
      <c r="E198" s="1">
        <v>45489</v>
      </c>
      <c r="F198" t="s">
        <v>729</v>
      </c>
      <c r="G198" s="1">
        <v>46047</v>
      </c>
      <c r="H198" s="1">
        <v>45530</v>
      </c>
      <c r="I198" t="s">
        <v>731</v>
      </c>
      <c r="J198" s="1">
        <v>45586</v>
      </c>
      <c r="K198" t="s">
        <v>731</v>
      </c>
      <c r="L198" t="s">
        <v>925</v>
      </c>
      <c r="M198">
        <v>5005808</v>
      </c>
      <c r="N198" t="s">
        <v>249</v>
      </c>
    </row>
    <row r="199" spans="1:14">
      <c r="A199">
        <v>103</v>
      </c>
      <c r="B199" t="s">
        <v>904</v>
      </c>
      <c r="C199" t="s">
        <v>927</v>
      </c>
      <c r="D199">
        <v>1</v>
      </c>
      <c r="E199" s="1">
        <v>45489</v>
      </c>
      <c r="F199" t="s">
        <v>729</v>
      </c>
      <c r="G199" s="1">
        <v>45957</v>
      </c>
      <c r="L199" t="s">
        <v>925</v>
      </c>
      <c r="M199">
        <v>5009894</v>
      </c>
      <c r="N199" t="s">
        <v>907</v>
      </c>
    </row>
    <row r="200" spans="1:14">
      <c r="A200">
        <v>102</v>
      </c>
      <c r="B200" t="s">
        <v>900</v>
      </c>
      <c r="C200">
        <v>1459855</v>
      </c>
      <c r="D200">
        <v>1</v>
      </c>
      <c r="E200" s="1">
        <v>45489</v>
      </c>
      <c r="F200" t="s">
        <v>729</v>
      </c>
      <c r="G200" s="1">
        <v>45961</v>
      </c>
      <c r="L200" t="s">
        <v>925</v>
      </c>
      <c r="M200">
        <v>5009892</v>
      </c>
      <c r="N200" t="s">
        <v>903</v>
      </c>
    </row>
    <row r="201" spans="1:14">
      <c r="A201">
        <v>101</v>
      </c>
      <c r="B201" t="s">
        <v>908</v>
      </c>
      <c r="C201">
        <v>1456325</v>
      </c>
      <c r="D201">
        <v>1</v>
      </c>
      <c r="E201" s="1">
        <v>45489</v>
      </c>
      <c r="F201" t="s">
        <v>729</v>
      </c>
      <c r="G201" s="1">
        <v>45961</v>
      </c>
      <c r="L201" t="s">
        <v>925</v>
      </c>
      <c r="M201">
        <v>5009893</v>
      </c>
      <c r="N201" t="s">
        <v>911</v>
      </c>
    </row>
    <row r="202" spans="1:14">
      <c r="A202">
        <v>100</v>
      </c>
      <c r="B202" t="s">
        <v>916</v>
      </c>
      <c r="C202" t="s">
        <v>926</v>
      </c>
      <c r="D202">
        <v>1</v>
      </c>
      <c r="E202" s="1">
        <v>45489</v>
      </c>
      <c r="F202" t="s">
        <v>729</v>
      </c>
      <c r="G202" s="1">
        <v>45874</v>
      </c>
      <c r="H202" s="1">
        <v>45565</v>
      </c>
      <c r="I202" t="s">
        <v>731</v>
      </c>
      <c r="L202" t="s">
        <v>925</v>
      </c>
      <c r="M202">
        <v>5009895</v>
      </c>
      <c r="N202" t="s">
        <v>919</v>
      </c>
    </row>
    <row r="203" spans="1:14">
      <c r="A203">
        <v>99</v>
      </c>
      <c r="B203" t="s">
        <v>912</v>
      </c>
      <c r="C203">
        <v>1473992</v>
      </c>
      <c r="D203">
        <v>1</v>
      </c>
      <c r="E203" s="1">
        <v>45489</v>
      </c>
      <c r="F203" t="s">
        <v>729</v>
      </c>
      <c r="G203" s="1">
        <v>45991</v>
      </c>
      <c r="H203" s="1">
        <v>45565</v>
      </c>
      <c r="I203" t="s">
        <v>731</v>
      </c>
      <c r="L203" t="s">
        <v>925</v>
      </c>
      <c r="M203">
        <v>5009896</v>
      </c>
      <c r="N203" t="s">
        <v>915</v>
      </c>
    </row>
    <row r="204" spans="1:14">
      <c r="A204">
        <v>98</v>
      </c>
      <c r="B204" t="s">
        <v>920</v>
      </c>
      <c r="C204" t="s">
        <v>924</v>
      </c>
      <c r="D204">
        <v>1</v>
      </c>
      <c r="E204" s="1">
        <v>45489</v>
      </c>
      <c r="F204" t="s">
        <v>729</v>
      </c>
      <c r="G204" s="1">
        <v>46289</v>
      </c>
      <c r="L204" t="s">
        <v>925</v>
      </c>
      <c r="M204">
        <v>5009898</v>
      </c>
      <c r="N204" t="s">
        <v>923</v>
      </c>
    </row>
    <row r="205" spans="1:14">
      <c r="A205">
        <v>97</v>
      </c>
      <c r="B205" t="s">
        <v>896</v>
      </c>
      <c r="C205" t="s">
        <v>899</v>
      </c>
      <c r="D205">
        <v>1</v>
      </c>
      <c r="E205" s="1">
        <v>45462</v>
      </c>
      <c r="F205" t="s">
        <v>734</v>
      </c>
      <c r="G205" s="1">
        <v>45984</v>
      </c>
      <c r="H205" s="1">
        <v>45488</v>
      </c>
      <c r="I205" t="s">
        <v>732</v>
      </c>
      <c r="J205" s="1">
        <v>45467</v>
      </c>
      <c r="K205" t="s">
        <v>734</v>
      </c>
      <c r="L205" t="s">
        <v>846</v>
      </c>
      <c r="M205">
        <v>5009119</v>
      </c>
      <c r="N205">
        <v>60050009</v>
      </c>
    </row>
    <row r="206" spans="1:14">
      <c r="A206">
        <v>96</v>
      </c>
      <c r="B206" t="s">
        <v>887</v>
      </c>
      <c r="C206" t="s">
        <v>894</v>
      </c>
      <c r="D206">
        <v>1</v>
      </c>
      <c r="E206" s="1">
        <v>45481</v>
      </c>
      <c r="F206" t="s">
        <v>734</v>
      </c>
      <c r="G206" s="1">
        <v>45777</v>
      </c>
      <c r="H206" s="1">
        <v>45518</v>
      </c>
      <c r="I206" t="s">
        <v>936</v>
      </c>
      <c r="J206" s="1">
        <v>45883</v>
      </c>
      <c r="K206" t="s">
        <v>995</v>
      </c>
      <c r="L206" t="s">
        <v>895</v>
      </c>
      <c r="M206">
        <v>6031067</v>
      </c>
      <c r="N206" t="s">
        <v>891</v>
      </c>
    </row>
    <row r="207" spans="1:14">
      <c r="A207">
        <v>95</v>
      </c>
      <c r="B207" t="s">
        <v>327</v>
      </c>
      <c r="C207">
        <v>3581031</v>
      </c>
      <c r="D207">
        <v>1</v>
      </c>
      <c r="E207" s="1">
        <v>45485</v>
      </c>
      <c r="F207" t="s">
        <v>729</v>
      </c>
      <c r="G207" s="1">
        <v>45849</v>
      </c>
      <c r="H207" s="1">
        <v>45502</v>
      </c>
      <c r="I207" t="s">
        <v>731</v>
      </c>
      <c r="J207" s="1">
        <v>45551</v>
      </c>
      <c r="K207" t="s">
        <v>734</v>
      </c>
      <c r="L207" t="s">
        <v>893</v>
      </c>
      <c r="M207">
        <v>6032171</v>
      </c>
      <c r="N207">
        <v>16168382</v>
      </c>
    </row>
    <row r="208" spans="1:14">
      <c r="A208">
        <v>94</v>
      </c>
      <c r="B208" t="s">
        <v>424</v>
      </c>
      <c r="C208">
        <v>3501083</v>
      </c>
      <c r="D208">
        <v>1</v>
      </c>
      <c r="E208" s="1">
        <v>45485</v>
      </c>
      <c r="F208" t="s">
        <v>729</v>
      </c>
      <c r="G208" s="1">
        <v>45849</v>
      </c>
      <c r="H208" s="1">
        <v>45566</v>
      </c>
      <c r="I208" t="s">
        <v>731</v>
      </c>
      <c r="J208" s="1">
        <v>45587</v>
      </c>
      <c r="K208" t="s">
        <v>734</v>
      </c>
      <c r="L208" t="s">
        <v>893</v>
      </c>
      <c r="M208">
        <v>6010275</v>
      </c>
      <c r="N208">
        <v>20066</v>
      </c>
    </row>
    <row r="209" spans="1:14">
      <c r="A209">
        <v>93</v>
      </c>
      <c r="B209" t="s">
        <v>795</v>
      </c>
      <c r="C209">
        <v>3520923</v>
      </c>
      <c r="D209">
        <v>1</v>
      </c>
      <c r="E209" s="1">
        <v>45485</v>
      </c>
      <c r="F209" t="s">
        <v>729</v>
      </c>
      <c r="G209" s="1">
        <v>45849</v>
      </c>
      <c r="H209" s="1">
        <v>45502</v>
      </c>
      <c r="I209" t="s">
        <v>731</v>
      </c>
      <c r="J209" s="1">
        <v>45534</v>
      </c>
      <c r="K209" t="s">
        <v>732</v>
      </c>
      <c r="L209" t="s">
        <v>893</v>
      </c>
      <c r="M209">
        <v>6010225</v>
      </c>
      <c r="N209">
        <v>16170713</v>
      </c>
    </row>
    <row r="210" spans="1:14">
      <c r="A210">
        <v>92</v>
      </c>
      <c r="B210" t="s">
        <v>472</v>
      </c>
      <c r="C210" t="s">
        <v>892</v>
      </c>
      <c r="D210">
        <v>1</v>
      </c>
      <c r="E210" s="1">
        <v>45386</v>
      </c>
      <c r="F210" t="s">
        <v>729</v>
      </c>
      <c r="G210" s="1">
        <v>46593</v>
      </c>
      <c r="H210" s="1">
        <v>45390</v>
      </c>
      <c r="I210" t="s">
        <v>731</v>
      </c>
      <c r="J210" s="1">
        <v>45481</v>
      </c>
      <c r="K210" t="s">
        <v>732</v>
      </c>
      <c r="M210">
        <v>5008882</v>
      </c>
      <c r="N210" t="s">
        <v>253</v>
      </c>
    </row>
    <row r="211" spans="1:14">
      <c r="A211">
        <v>91</v>
      </c>
      <c r="B211" t="s">
        <v>882</v>
      </c>
      <c r="C211">
        <v>235540</v>
      </c>
      <c r="D211">
        <v>1</v>
      </c>
      <c r="E211" s="1">
        <v>45450</v>
      </c>
      <c r="F211" t="s">
        <v>734</v>
      </c>
      <c r="G211" s="1">
        <v>45845</v>
      </c>
      <c r="H211" s="1">
        <v>45555</v>
      </c>
      <c r="I211" t="s">
        <v>731</v>
      </c>
      <c r="J211" s="1">
        <v>45673</v>
      </c>
      <c r="K211" t="s">
        <v>731</v>
      </c>
      <c r="M211">
        <v>6010114</v>
      </c>
      <c r="N211" t="s">
        <v>121</v>
      </c>
    </row>
    <row r="212" spans="1:14">
      <c r="A212">
        <v>90</v>
      </c>
      <c r="B212" t="s">
        <v>820</v>
      </c>
      <c r="C212" t="s">
        <v>881</v>
      </c>
      <c r="D212">
        <v>1</v>
      </c>
      <c r="E212" s="1">
        <v>45477</v>
      </c>
      <c r="F212" t="s">
        <v>734</v>
      </c>
      <c r="G212" s="1">
        <v>46047</v>
      </c>
      <c r="H212" s="1">
        <v>45477</v>
      </c>
      <c r="I212" t="s">
        <v>729</v>
      </c>
      <c r="J212" s="1">
        <v>45526</v>
      </c>
      <c r="K212" t="s">
        <v>734</v>
      </c>
      <c r="M212">
        <v>5005808</v>
      </c>
      <c r="N212" t="s">
        <v>249</v>
      </c>
    </row>
    <row r="213" spans="1:14">
      <c r="A213">
        <v>89</v>
      </c>
      <c r="B213" t="s">
        <v>471</v>
      </c>
      <c r="C213" t="s">
        <v>871</v>
      </c>
      <c r="D213">
        <v>1</v>
      </c>
      <c r="E213" s="1">
        <v>45471</v>
      </c>
      <c r="F213" t="s">
        <v>729</v>
      </c>
      <c r="G213" s="1">
        <v>47050</v>
      </c>
      <c r="H213" s="1">
        <v>45471</v>
      </c>
      <c r="I213" t="s">
        <v>864</v>
      </c>
      <c r="J213" s="1">
        <v>45497</v>
      </c>
      <c r="K213" t="s">
        <v>864</v>
      </c>
      <c r="L213" t="s">
        <v>880</v>
      </c>
      <c r="M213">
        <v>6032079</v>
      </c>
      <c r="N213">
        <v>6000644</v>
      </c>
    </row>
    <row r="214" spans="1:14">
      <c r="A214">
        <v>88</v>
      </c>
      <c r="B214" t="s">
        <v>315</v>
      </c>
      <c r="C214">
        <v>630</v>
      </c>
      <c r="D214">
        <v>1</v>
      </c>
      <c r="E214" s="1">
        <v>45457</v>
      </c>
      <c r="F214" t="s">
        <v>729</v>
      </c>
      <c r="G214" s="1">
        <v>45838</v>
      </c>
      <c r="H214" s="1">
        <v>45665</v>
      </c>
      <c r="I214" t="s">
        <v>731</v>
      </c>
      <c r="J214" s="1">
        <v>46006</v>
      </c>
      <c r="K214" t="s">
        <v>731</v>
      </c>
      <c r="L214">
        <v>525318</v>
      </c>
      <c r="M214">
        <v>5006498</v>
      </c>
      <c r="N214" t="s">
        <v>281</v>
      </c>
    </row>
    <row r="215" spans="1:14">
      <c r="A215">
        <v>87</v>
      </c>
      <c r="B215" t="s">
        <v>840</v>
      </c>
      <c r="C215" t="s">
        <v>877</v>
      </c>
      <c r="D215">
        <v>1</v>
      </c>
      <c r="E215" s="1">
        <v>45457</v>
      </c>
      <c r="F215" t="s">
        <v>729</v>
      </c>
      <c r="G215" s="1">
        <v>45838</v>
      </c>
      <c r="H215" s="1">
        <v>45517</v>
      </c>
      <c r="I215" t="s">
        <v>729</v>
      </c>
      <c r="J215" s="1">
        <v>45909</v>
      </c>
      <c r="K215" t="s">
        <v>731</v>
      </c>
      <c r="L215">
        <v>525318</v>
      </c>
      <c r="M215">
        <v>5009029</v>
      </c>
      <c r="N215" t="s">
        <v>301</v>
      </c>
    </row>
    <row r="216" spans="1:14">
      <c r="A216">
        <v>86</v>
      </c>
      <c r="B216" t="s">
        <v>791</v>
      </c>
      <c r="C216" t="s">
        <v>730</v>
      </c>
      <c r="D216">
        <v>1</v>
      </c>
      <c r="E216" s="1">
        <v>45236</v>
      </c>
      <c r="F216" t="s">
        <v>729</v>
      </c>
      <c r="G216" s="1">
        <v>46551</v>
      </c>
      <c r="H216" s="1">
        <v>45454</v>
      </c>
      <c r="I216" t="s">
        <v>729</v>
      </c>
      <c r="J216" s="1">
        <v>45537</v>
      </c>
      <c r="K216" t="s">
        <v>972</v>
      </c>
      <c r="L216" t="s">
        <v>876</v>
      </c>
      <c r="M216">
        <v>6010132</v>
      </c>
      <c r="N216" t="s">
        <v>238</v>
      </c>
    </row>
    <row r="217" spans="1:14">
      <c r="A217">
        <v>85</v>
      </c>
      <c r="B217" t="s">
        <v>314</v>
      </c>
      <c r="C217" t="s">
        <v>874</v>
      </c>
      <c r="D217">
        <v>1</v>
      </c>
      <c r="E217" s="1">
        <v>45453</v>
      </c>
      <c r="F217" t="s">
        <v>734</v>
      </c>
      <c r="G217" s="1">
        <v>47126</v>
      </c>
      <c r="H217" s="1">
        <v>45489</v>
      </c>
      <c r="I217" t="s">
        <v>732</v>
      </c>
      <c r="J217" s="1">
        <v>45545</v>
      </c>
      <c r="K217" t="s">
        <v>732</v>
      </c>
      <c r="L217" t="s">
        <v>875</v>
      </c>
      <c r="M217">
        <v>4440180</v>
      </c>
      <c r="N217" t="s">
        <v>230</v>
      </c>
    </row>
    <row r="218" spans="1:14">
      <c r="A218">
        <v>84</v>
      </c>
      <c r="B218" t="s">
        <v>795</v>
      </c>
      <c r="C218">
        <v>3462784</v>
      </c>
      <c r="D218">
        <v>1</v>
      </c>
      <c r="E218" s="1">
        <v>45449</v>
      </c>
      <c r="F218" t="s">
        <v>734</v>
      </c>
      <c r="G218" s="1">
        <v>45814</v>
      </c>
      <c r="H218" s="1">
        <v>45468</v>
      </c>
      <c r="I218" t="s">
        <v>734</v>
      </c>
      <c r="J218" s="1">
        <v>45498</v>
      </c>
      <c r="K218" t="s">
        <v>734</v>
      </c>
      <c r="L218" t="s">
        <v>873</v>
      </c>
      <c r="M218">
        <v>6010225</v>
      </c>
      <c r="N218">
        <v>16170713</v>
      </c>
    </row>
    <row r="219" spans="1:14">
      <c r="A219">
        <v>83</v>
      </c>
      <c r="B219" t="s">
        <v>473</v>
      </c>
      <c r="C219">
        <v>3483696</v>
      </c>
      <c r="D219">
        <v>1</v>
      </c>
      <c r="E219" s="1">
        <v>45449</v>
      </c>
      <c r="F219" t="s">
        <v>734</v>
      </c>
      <c r="G219" s="1">
        <v>45814</v>
      </c>
      <c r="H219" s="1">
        <v>45505</v>
      </c>
      <c r="I219" t="s">
        <v>731</v>
      </c>
      <c r="J219" s="1">
        <v>45748</v>
      </c>
      <c r="K219" t="s">
        <v>731</v>
      </c>
      <c r="L219" t="s">
        <v>873</v>
      </c>
      <c r="M219">
        <v>6010249</v>
      </c>
      <c r="N219">
        <v>16053485</v>
      </c>
    </row>
    <row r="220" spans="1:14">
      <c r="A220">
        <v>82</v>
      </c>
      <c r="B220" t="s">
        <v>424</v>
      </c>
      <c r="C220">
        <v>3451022</v>
      </c>
      <c r="D220">
        <v>1</v>
      </c>
      <c r="E220" s="1">
        <v>45449</v>
      </c>
      <c r="F220" t="s">
        <v>734</v>
      </c>
      <c r="G220" s="1">
        <v>45814</v>
      </c>
      <c r="H220" s="1">
        <v>45534</v>
      </c>
      <c r="I220" t="s">
        <v>732</v>
      </c>
      <c r="J220" s="1">
        <v>45565</v>
      </c>
      <c r="K220" t="s">
        <v>731</v>
      </c>
      <c r="L220" t="s">
        <v>873</v>
      </c>
      <c r="M220">
        <v>6010275</v>
      </c>
      <c r="N220">
        <v>20066</v>
      </c>
    </row>
    <row r="221" spans="1:14">
      <c r="A221">
        <v>81</v>
      </c>
      <c r="B221" t="s">
        <v>471</v>
      </c>
      <c r="C221" t="s">
        <v>871</v>
      </c>
      <c r="D221">
        <v>1</v>
      </c>
      <c r="E221" s="1">
        <v>45449</v>
      </c>
      <c r="F221" t="s">
        <v>734</v>
      </c>
      <c r="G221" s="1">
        <v>47050</v>
      </c>
      <c r="H221" s="1">
        <v>45449</v>
      </c>
      <c r="I221" t="s">
        <v>731</v>
      </c>
      <c r="J221" s="1">
        <v>45471</v>
      </c>
      <c r="K221" t="s">
        <v>864</v>
      </c>
      <c r="L221" t="s">
        <v>872</v>
      </c>
      <c r="M221">
        <v>6032079</v>
      </c>
      <c r="N221">
        <v>6000644</v>
      </c>
    </row>
    <row r="222" spans="1:14">
      <c r="A222">
        <v>80</v>
      </c>
      <c r="B222" t="s">
        <v>483</v>
      </c>
      <c r="C222" t="s">
        <v>741</v>
      </c>
      <c r="D222">
        <v>1</v>
      </c>
      <c r="E222" s="1">
        <v>45334</v>
      </c>
      <c r="F222" t="s">
        <v>734</v>
      </c>
      <c r="G222" s="1">
        <v>45900</v>
      </c>
      <c r="H222" s="1">
        <v>45504</v>
      </c>
      <c r="I222" t="s">
        <v>729</v>
      </c>
      <c r="J222" s="1">
        <v>45825</v>
      </c>
      <c r="K222" t="s">
        <v>1011</v>
      </c>
      <c r="M222">
        <v>5003439</v>
      </c>
      <c r="N222" t="s">
        <v>234</v>
      </c>
    </row>
    <row r="223" spans="1:14">
      <c r="A223">
        <v>79</v>
      </c>
      <c r="B223" t="s">
        <v>832</v>
      </c>
      <c r="C223">
        <v>11007392</v>
      </c>
      <c r="D223">
        <v>1</v>
      </c>
      <c r="E223" s="1">
        <v>44517</v>
      </c>
      <c r="F223" t="s">
        <v>732</v>
      </c>
      <c r="G223" s="1">
        <v>44517</v>
      </c>
      <c r="H223" s="1">
        <v>45449</v>
      </c>
      <c r="I223" t="s">
        <v>732</v>
      </c>
      <c r="J223" s="1">
        <v>45642</v>
      </c>
      <c r="K223" t="s">
        <v>732</v>
      </c>
      <c r="M223">
        <v>5007924</v>
      </c>
      <c r="N223" t="s">
        <v>296</v>
      </c>
    </row>
    <row r="224" spans="1:14">
      <c r="A224">
        <v>78</v>
      </c>
      <c r="B224" t="s">
        <v>819</v>
      </c>
      <c r="C224" t="s">
        <v>742</v>
      </c>
      <c r="D224">
        <v>1</v>
      </c>
      <c r="E224" s="1">
        <v>45071</v>
      </c>
      <c r="F224" t="s">
        <v>734</v>
      </c>
      <c r="G224" s="1">
        <v>45606</v>
      </c>
      <c r="H224" s="1">
        <v>45460</v>
      </c>
      <c r="I224" t="s">
        <v>731</v>
      </c>
      <c r="J224" s="1">
        <v>45610</v>
      </c>
      <c r="K224" t="s">
        <v>731</v>
      </c>
      <c r="M224">
        <v>5005795</v>
      </c>
      <c r="N224" t="s">
        <v>266</v>
      </c>
    </row>
    <row r="225" spans="1:14">
      <c r="A225">
        <v>77</v>
      </c>
      <c r="B225" t="s">
        <v>866</v>
      </c>
      <c r="C225" t="s">
        <v>870</v>
      </c>
      <c r="D225">
        <v>1</v>
      </c>
      <c r="E225" s="1">
        <v>45295</v>
      </c>
      <c r="F225" t="s">
        <v>734</v>
      </c>
      <c r="G225" s="1">
        <v>45626</v>
      </c>
      <c r="H225" s="1">
        <v>45442</v>
      </c>
      <c r="I225" t="s">
        <v>734</v>
      </c>
      <c r="M225">
        <v>6006535</v>
      </c>
      <c r="N225" t="s">
        <v>869</v>
      </c>
    </row>
    <row r="226" spans="1:14">
      <c r="A226">
        <v>76</v>
      </c>
      <c r="B226" t="s">
        <v>839</v>
      </c>
      <c r="C226">
        <v>1338183</v>
      </c>
      <c r="D226">
        <v>1</v>
      </c>
      <c r="E226" s="1">
        <v>45274</v>
      </c>
      <c r="F226" t="s">
        <v>729</v>
      </c>
      <c r="G226" s="1">
        <v>46446</v>
      </c>
      <c r="H226" s="1">
        <v>45593</v>
      </c>
      <c r="I226" t="s">
        <v>734</v>
      </c>
    </row>
    <row r="227" spans="1:14">
      <c r="A227">
        <v>75</v>
      </c>
      <c r="B227" t="s">
        <v>839</v>
      </c>
      <c r="C227">
        <v>1338183</v>
      </c>
      <c r="D227">
        <v>1</v>
      </c>
      <c r="E227" s="1">
        <v>45274</v>
      </c>
      <c r="F227" t="s">
        <v>729</v>
      </c>
      <c r="G227" s="1">
        <v>46446</v>
      </c>
      <c r="H227" s="1">
        <v>45436</v>
      </c>
      <c r="I227" t="s">
        <v>864</v>
      </c>
      <c r="J227" s="1">
        <v>45593</v>
      </c>
      <c r="K227" t="s">
        <v>734</v>
      </c>
      <c r="M227">
        <v>5003427</v>
      </c>
      <c r="N227" t="s">
        <v>251</v>
      </c>
    </row>
    <row r="228" spans="1:14">
      <c r="A228">
        <v>74</v>
      </c>
      <c r="B228" t="s">
        <v>327</v>
      </c>
      <c r="C228">
        <v>3488006</v>
      </c>
      <c r="D228">
        <v>1</v>
      </c>
      <c r="E228" s="1">
        <v>45420</v>
      </c>
      <c r="F228" t="s">
        <v>729</v>
      </c>
      <c r="G228" s="1">
        <v>45785</v>
      </c>
      <c r="H228" s="1">
        <v>45454</v>
      </c>
      <c r="I228" t="s">
        <v>732</v>
      </c>
      <c r="J228" s="1">
        <v>45513</v>
      </c>
      <c r="K228" t="s">
        <v>729</v>
      </c>
      <c r="L228" t="s">
        <v>865</v>
      </c>
      <c r="M228">
        <v>6032171</v>
      </c>
      <c r="N228">
        <v>16168382</v>
      </c>
    </row>
    <row r="229" spans="1:14">
      <c r="A229">
        <v>73</v>
      </c>
      <c r="B229" t="s">
        <v>795</v>
      </c>
      <c r="C229">
        <v>3415474</v>
      </c>
      <c r="D229">
        <v>1</v>
      </c>
      <c r="E229" s="1">
        <v>45420</v>
      </c>
      <c r="F229" t="s">
        <v>729</v>
      </c>
      <c r="G229" s="1">
        <v>45785</v>
      </c>
      <c r="H229" s="1">
        <v>45442</v>
      </c>
      <c r="I229" t="s">
        <v>734</v>
      </c>
      <c r="J229" s="1">
        <v>45468</v>
      </c>
      <c r="K229" t="s">
        <v>734</v>
      </c>
      <c r="L229" t="s">
        <v>865</v>
      </c>
      <c r="M229">
        <v>6010225</v>
      </c>
      <c r="N229">
        <v>16170713</v>
      </c>
    </row>
    <row r="230" spans="1:14">
      <c r="A230">
        <v>72</v>
      </c>
      <c r="B230" t="s">
        <v>424</v>
      </c>
      <c r="C230">
        <v>3451022</v>
      </c>
      <c r="D230">
        <v>1</v>
      </c>
      <c r="E230" s="1">
        <v>45420</v>
      </c>
      <c r="F230" t="s">
        <v>729</v>
      </c>
      <c r="G230" s="1">
        <v>45785</v>
      </c>
      <c r="H230" s="1">
        <v>45442</v>
      </c>
      <c r="I230" t="s">
        <v>729</v>
      </c>
      <c r="J230" s="1">
        <v>45534</v>
      </c>
      <c r="K230" t="s">
        <v>732</v>
      </c>
      <c r="L230" t="s">
        <v>865</v>
      </c>
      <c r="M230">
        <v>6010275</v>
      </c>
      <c r="N230">
        <v>20066</v>
      </c>
    </row>
    <row r="231" spans="1:14">
      <c r="A231">
        <v>71</v>
      </c>
      <c r="B231" t="s">
        <v>489</v>
      </c>
      <c r="C231" t="s">
        <v>862</v>
      </c>
      <c r="D231">
        <v>1</v>
      </c>
      <c r="E231" s="1">
        <v>45433</v>
      </c>
      <c r="F231" t="s">
        <v>729</v>
      </c>
      <c r="G231" s="1">
        <v>45777</v>
      </c>
      <c r="H231" s="1">
        <v>45433</v>
      </c>
      <c r="I231" t="s">
        <v>734</v>
      </c>
      <c r="J231" s="1">
        <v>45565</v>
      </c>
      <c r="K231" t="s">
        <v>731</v>
      </c>
      <c r="L231" t="s">
        <v>863</v>
      </c>
      <c r="M231">
        <v>6006536</v>
      </c>
      <c r="N231">
        <v>361046247</v>
      </c>
    </row>
    <row r="232" spans="1:14">
      <c r="A232">
        <v>70</v>
      </c>
      <c r="B232" t="s">
        <v>455</v>
      </c>
      <c r="C232">
        <v>1452301</v>
      </c>
      <c r="D232">
        <v>1</v>
      </c>
      <c r="E232" s="1">
        <v>45422</v>
      </c>
      <c r="F232" t="s">
        <v>729</v>
      </c>
      <c r="G232" s="1">
        <v>46069</v>
      </c>
      <c r="H232" s="1">
        <v>45471</v>
      </c>
      <c r="I232" t="s">
        <v>731</v>
      </c>
      <c r="J232" s="1">
        <v>45526</v>
      </c>
      <c r="K232" t="s">
        <v>731</v>
      </c>
    </row>
    <row r="233" spans="1:14">
      <c r="A233">
        <v>69</v>
      </c>
      <c r="B233" t="s">
        <v>455</v>
      </c>
      <c r="C233">
        <v>1452301</v>
      </c>
      <c r="D233">
        <v>1</v>
      </c>
      <c r="E233" s="1">
        <v>45422</v>
      </c>
      <c r="F233" t="s">
        <v>729</v>
      </c>
      <c r="G233" s="1">
        <v>46069</v>
      </c>
      <c r="H233" s="1">
        <v>45435</v>
      </c>
      <c r="I233" t="s">
        <v>731</v>
      </c>
      <c r="J233" s="1">
        <v>45471</v>
      </c>
      <c r="K233" t="s">
        <v>731</v>
      </c>
      <c r="L233" t="s">
        <v>861</v>
      </c>
      <c r="M233">
        <v>5006622</v>
      </c>
      <c r="N233" t="s">
        <v>231</v>
      </c>
    </row>
    <row r="234" spans="1:14">
      <c r="A234">
        <v>68</v>
      </c>
      <c r="B234" t="s">
        <v>759</v>
      </c>
      <c r="C234" t="s">
        <v>757</v>
      </c>
      <c r="D234">
        <v>1</v>
      </c>
      <c r="E234" s="1">
        <v>45419</v>
      </c>
      <c r="F234" t="s">
        <v>729</v>
      </c>
      <c r="G234" s="1">
        <v>45784</v>
      </c>
    </row>
    <row r="235" spans="1:14">
      <c r="A235">
        <v>67</v>
      </c>
      <c r="B235" t="s">
        <v>759</v>
      </c>
      <c r="C235" t="s">
        <v>757</v>
      </c>
      <c r="D235">
        <v>1</v>
      </c>
      <c r="E235" s="1">
        <v>45419</v>
      </c>
      <c r="F235" t="s">
        <v>729</v>
      </c>
      <c r="G235" s="1">
        <v>45784</v>
      </c>
      <c r="H235" s="1">
        <v>45604</v>
      </c>
      <c r="I235" t="s">
        <v>734</v>
      </c>
      <c r="L235" t="s">
        <v>860</v>
      </c>
      <c r="M235">
        <v>6031790</v>
      </c>
      <c r="N235" t="s">
        <v>756</v>
      </c>
    </row>
    <row r="236" spans="1:14">
      <c r="A236">
        <v>66</v>
      </c>
      <c r="B236" t="s">
        <v>471</v>
      </c>
      <c r="C236" t="s">
        <v>858</v>
      </c>
      <c r="D236">
        <v>1</v>
      </c>
      <c r="E236" s="1">
        <v>45418</v>
      </c>
      <c r="F236" t="s">
        <v>729</v>
      </c>
      <c r="G236" s="1">
        <v>46928</v>
      </c>
      <c r="H236" s="1">
        <v>45433</v>
      </c>
      <c r="I236" t="s">
        <v>734</v>
      </c>
      <c r="J236" s="1">
        <v>45471</v>
      </c>
      <c r="K236" t="s">
        <v>864</v>
      </c>
      <c r="L236" t="s">
        <v>859</v>
      </c>
      <c r="M236">
        <v>6032079</v>
      </c>
      <c r="N236">
        <v>6000644</v>
      </c>
    </row>
    <row r="237" spans="1:14">
      <c r="A237">
        <v>65</v>
      </c>
      <c r="B237" t="s">
        <v>854</v>
      </c>
      <c r="C237" t="s">
        <v>857</v>
      </c>
      <c r="D237">
        <v>1</v>
      </c>
      <c r="E237" s="1">
        <v>44657</v>
      </c>
      <c r="F237" t="s">
        <v>731</v>
      </c>
      <c r="G237" s="1">
        <v>45413</v>
      </c>
      <c r="H237" s="1">
        <v>44657</v>
      </c>
      <c r="I237" t="s">
        <v>731</v>
      </c>
      <c r="J237" s="1">
        <v>45700</v>
      </c>
      <c r="K237" t="s">
        <v>732</v>
      </c>
    </row>
    <row r="238" spans="1:14">
      <c r="A238">
        <v>64</v>
      </c>
      <c r="B238" t="s">
        <v>486</v>
      </c>
      <c r="C238" t="s">
        <v>853</v>
      </c>
      <c r="D238">
        <v>1</v>
      </c>
      <c r="E238" s="1">
        <v>45017</v>
      </c>
      <c r="F238" t="s">
        <v>731</v>
      </c>
      <c r="G238" s="1">
        <v>45593</v>
      </c>
      <c r="H238" s="1">
        <v>45047</v>
      </c>
      <c r="I238" t="s">
        <v>731</v>
      </c>
      <c r="J238" s="1">
        <v>45797</v>
      </c>
      <c r="K238" t="s">
        <v>732</v>
      </c>
      <c r="M238">
        <v>6040050</v>
      </c>
      <c r="N238" t="s">
        <v>291</v>
      </c>
    </row>
    <row r="239" spans="1:14">
      <c r="A239">
        <v>63</v>
      </c>
      <c r="B239" t="s">
        <v>484</v>
      </c>
      <c r="C239" t="s">
        <v>852</v>
      </c>
      <c r="D239">
        <v>1</v>
      </c>
      <c r="E239" s="1">
        <v>45163</v>
      </c>
      <c r="F239" t="s">
        <v>731</v>
      </c>
      <c r="G239" s="1">
        <v>45413</v>
      </c>
      <c r="H239" s="1">
        <v>45175</v>
      </c>
      <c r="I239" t="s">
        <v>731</v>
      </c>
      <c r="J239" s="1">
        <v>45666</v>
      </c>
      <c r="K239" t="s">
        <v>731</v>
      </c>
      <c r="M239">
        <v>6041021</v>
      </c>
      <c r="N239" t="s">
        <v>297</v>
      </c>
    </row>
    <row r="240" spans="1:14">
      <c r="A240">
        <v>62</v>
      </c>
      <c r="B240" t="s">
        <v>466</v>
      </c>
      <c r="C240" t="s">
        <v>850</v>
      </c>
      <c r="D240">
        <v>1</v>
      </c>
      <c r="E240" s="1">
        <v>45406</v>
      </c>
      <c r="F240" t="s">
        <v>729</v>
      </c>
      <c r="G240" s="1">
        <v>46117</v>
      </c>
      <c r="H240" s="1">
        <v>45649</v>
      </c>
      <c r="I240" t="s">
        <v>731</v>
      </c>
      <c r="J240" s="1">
        <v>45852</v>
      </c>
      <c r="K240" t="s">
        <v>993</v>
      </c>
      <c r="L240" t="s">
        <v>851</v>
      </c>
      <c r="M240">
        <v>5006955</v>
      </c>
      <c r="N240" t="s">
        <v>300</v>
      </c>
    </row>
    <row r="241" spans="1:14">
      <c r="A241">
        <v>61</v>
      </c>
      <c r="B241" t="s">
        <v>466</v>
      </c>
      <c r="C241" t="s">
        <v>850</v>
      </c>
      <c r="D241">
        <v>1</v>
      </c>
      <c r="E241" s="1">
        <v>45405</v>
      </c>
      <c r="F241" t="s">
        <v>729</v>
      </c>
      <c r="G241" s="1">
        <v>46117</v>
      </c>
      <c r="H241" s="1">
        <v>45476</v>
      </c>
      <c r="I241" t="s">
        <v>732</v>
      </c>
      <c r="J241" s="1">
        <v>45649</v>
      </c>
      <c r="K241" t="s">
        <v>731</v>
      </c>
      <c r="L241" t="s">
        <v>851</v>
      </c>
      <c r="M241">
        <v>5006955</v>
      </c>
      <c r="N241" t="s">
        <v>300</v>
      </c>
    </row>
    <row r="242" spans="1:14">
      <c r="A242">
        <v>60</v>
      </c>
      <c r="B242" t="s">
        <v>466</v>
      </c>
      <c r="C242" t="s">
        <v>850</v>
      </c>
      <c r="D242">
        <v>1</v>
      </c>
      <c r="E242" s="1">
        <v>45405</v>
      </c>
      <c r="F242" t="s">
        <v>734</v>
      </c>
      <c r="G242" s="1">
        <v>46117</v>
      </c>
      <c r="H242" s="1">
        <v>45405</v>
      </c>
      <c r="I242" t="s">
        <v>732</v>
      </c>
      <c r="J242" s="1">
        <v>45476</v>
      </c>
      <c r="K242" t="s">
        <v>732</v>
      </c>
      <c r="L242" t="s">
        <v>851</v>
      </c>
      <c r="M242">
        <v>5006955</v>
      </c>
      <c r="N242" t="s">
        <v>300</v>
      </c>
    </row>
    <row r="243" spans="1:14">
      <c r="A243">
        <v>59</v>
      </c>
      <c r="B243" t="s">
        <v>829</v>
      </c>
      <c r="C243">
        <v>1415446</v>
      </c>
      <c r="D243">
        <v>1</v>
      </c>
      <c r="E243" s="1">
        <v>45398</v>
      </c>
      <c r="F243" t="s">
        <v>729</v>
      </c>
      <c r="G243" s="1">
        <v>45768</v>
      </c>
      <c r="H243" s="1">
        <v>45453</v>
      </c>
      <c r="I243" t="s">
        <v>732</v>
      </c>
      <c r="J243" s="1">
        <v>45910</v>
      </c>
      <c r="K243" t="s">
        <v>731</v>
      </c>
      <c r="L243" t="s">
        <v>849</v>
      </c>
      <c r="M243">
        <v>5006103</v>
      </c>
      <c r="N243" t="s">
        <v>290</v>
      </c>
    </row>
    <row r="244" spans="1:14">
      <c r="A244">
        <v>58</v>
      </c>
      <c r="B244" t="s">
        <v>327</v>
      </c>
      <c r="C244">
        <v>3459805</v>
      </c>
      <c r="D244">
        <v>1</v>
      </c>
      <c r="E244" s="1">
        <v>45394</v>
      </c>
      <c r="F244" t="s">
        <v>729</v>
      </c>
      <c r="G244" s="1">
        <v>45759</v>
      </c>
      <c r="H244" s="1">
        <v>45411</v>
      </c>
      <c r="I244" t="s">
        <v>731</v>
      </c>
      <c r="J244" s="1">
        <v>45454</v>
      </c>
      <c r="K244" t="s">
        <v>732</v>
      </c>
      <c r="L244" t="s">
        <v>847</v>
      </c>
      <c r="M244">
        <v>6032171</v>
      </c>
      <c r="N244">
        <v>16168382</v>
      </c>
    </row>
    <row r="245" spans="1:14">
      <c r="A245">
        <v>57</v>
      </c>
      <c r="B245" t="s">
        <v>424</v>
      </c>
      <c r="C245">
        <v>3432958</v>
      </c>
      <c r="D245">
        <v>1</v>
      </c>
      <c r="E245" s="1">
        <v>45394</v>
      </c>
      <c r="F245" t="s">
        <v>729</v>
      </c>
      <c r="G245" s="1">
        <v>45759</v>
      </c>
      <c r="H245" s="1">
        <v>45406</v>
      </c>
      <c r="I245" t="s">
        <v>734</v>
      </c>
      <c r="J245" s="1">
        <v>45442</v>
      </c>
      <c r="K245" t="s">
        <v>729</v>
      </c>
      <c r="L245" t="s">
        <v>847</v>
      </c>
      <c r="M245">
        <v>6010275</v>
      </c>
      <c r="N245">
        <v>20066</v>
      </c>
    </row>
    <row r="246" spans="1:14">
      <c r="A246">
        <v>56</v>
      </c>
      <c r="B246" t="s">
        <v>471</v>
      </c>
      <c r="C246" t="s">
        <v>845</v>
      </c>
      <c r="D246">
        <v>1</v>
      </c>
      <c r="E246" s="1">
        <v>45392</v>
      </c>
      <c r="F246" t="s">
        <v>729</v>
      </c>
      <c r="G246" s="1">
        <v>45392</v>
      </c>
      <c r="H246" s="1">
        <v>45404</v>
      </c>
      <c r="I246" t="s">
        <v>734</v>
      </c>
      <c r="J246" s="1">
        <v>45429</v>
      </c>
      <c r="K246" t="s">
        <v>864</v>
      </c>
      <c r="L246" t="s">
        <v>846</v>
      </c>
      <c r="M246">
        <v>6032079</v>
      </c>
      <c r="N246">
        <v>6000644</v>
      </c>
    </row>
    <row r="247" spans="1:14">
      <c r="A247">
        <v>55</v>
      </c>
      <c r="B247" t="s">
        <v>490</v>
      </c>
      <c r="C247">
        <v>232765</v>
      </c>
      <c r="D247">
        <v>1</v>
      </c>
      <c r="E247" s="1">
        <v>45236</v>
      </c>
      <c r="F247" t="s">
        <v>729</v>
      </c>
      <c r="G247" s="1">
        <v>45535</v>
      </c>
      <c r="H247" s="1">
        <v>45425</v>
      </c>
      <c r="I247" t="s">
        <v>734</v>
      </c>
      <c r="J247" s="1">
        <v>45433</v>
      </c>
      <c r="K247" t="s">
        <v>734</v>
      </c>
      <c r="M247">
        <v>6006599</v>
      </c>
      <c r="N247" t="s">
        <v>263</v>
      </c>
    </row>
    <row r="248" spans="1:14">
      <c r="A248">
        <v>54</v>
      </c>
      <c r="B248" t="s">
        <v>490</v>
      </c>
      <c r="C248">
        <v>232765</v>
      </c>
      <c r="D248">
        <v>1</v>
      </c>
      <c r="E248" s="1">
        <v>45236</v>
      </c>
      <c r="F248" t="s">
        <v>729</v>
      </c>
      <c r="G248" s="1">
        <v>45535</v>
      </c>
      <c r="H248" s="1">
        <v>45420</v>
      </c>
      <c r="I248" t="s">
        <v>734</v>
      </c>
      <c r="J248" s="1">
        <v>45425</v>
      </c>
      <c r="K248" t="s">
        <v>734</v>
      </c>
      <c r="M248">
        <v>6006599</v>
      </c>
      <c r="N248" t="s">
        <v>263</v>
      </c>
    </row>
    <row r="249" spans="1:14">
      <c r="A249">
        <v>53</v>
      </c>
      <c r="B249" t="s">
        <v>490</v>
      </c>
      <c r="C249">
        <v>232765</v>
      </c>
      <c r="D249">
        <v>1</v>
      </c>
      <c r="E249" s="1">
        <v>45236</v>
      </c>
      <c r="F249" t="s">
        <v>729</v>
      </c>
      <c r="G249" s="1">
        <v>45535</v>
      </c>
      <c r="H249" s="1">
        <v>45419</v>
      </c>
      <c r="I249" t="s">
        <v>734</v>
      </c>
      <c r="J249" s="1">
        <v>45420</v>
      </c>
      <c r="K249" t="s">
        <v>734</v>
      </c>
      <c r="M249">
        <v>6006599</v>
      </c>
      <c r="N249" t="s">
        <v>263</v>
      </c>
    </row>
    <row r="250" spans="1:14">
      <c r="A250">
        <v>52</v>
      </c>
      <c r="B250" t="s">
        <v>490</v>
      </c>
      <c r="C250">
        <v>232765</v>
      </c>
      <c r="D250">
        <v>1</v>
      </c>
      <c r="E250" s="1">
        <v>45236</v>
      </c>
      <c r="F250" t="s">
        <v>729</v>
      </c>
      <c r="G250" s="1">
        <v>45535</v>
      </c>
      <c r="H250" s="1">
        <v>45419</v>
      </c>
      <c r="I250" t="s">
        <v>734</v>
      </c>
      <c r="J250" s="1">
        <v>45419</v>
      </c>
      <c r="K250" t="s">
        <v>734</v>
      </c>
      <c r="M250">
        <v>6006599</v>
      </c>
      <c r="N250" t="s">
        <v>263</v>
      </c>
    </row>
    <row r="251" spans="1:14">
      <c r="A251">
        <v>51</v>
      </c>
      <c r="B251" t="s">
        <v>490</v>
      </c>
      <c r="C251">
        <v>232765</v>
      </c>
      <c r="D251">
        <v>1</v>
      </c>
      <c r="E251" s="1">
        <v>45236</v>
      </c>
      <c r="F251" t="s">
        <v>729</v>
      </c>
      <c r="G251" s="1">
        <v>45535</v>
      </c>
      <c r="H251" s="1">
        <v>45414</v>
      </c>
      <c r="I251">
        <v>1</v>
      </c>
      <c r="J251" s="1">
        <v>45419</v>
      </c>
      <c r="K251" t="s">
        <v>734</v>
      </c>
      <c r="M251">
        <v>6006599</v>
      </c>
      <c r="N251" t="s">
        <v>263</v>
      </c>
    </row>
    <row r="252" spans="1:14">
      <c r="A252">
        <v>50</v>
      </c>
      <c r="B252" t="s">
        <v>490</v>
      </c>
      <c r="C252">
        <v>232765</v>
      </c>
      <c r="D252">
        <v>1</v>
      </c>
      <c r="E252" s="1">
        <v>45236</v>
      </c>
      <c r="F252" t="s">
        <v>729</v>
      </c>
      <c r="G252" s="1">
        <v>45535</v>
      </c>
      <c r="H252" s="1">
        <v>45404</v>
      </c>
      <c r="I252" t="s">
        <v>731</v>
      </c>
      <c r="J252" s="1">
        <v>45413</v>
      </c>
      <c r="K252" t="s">
        <v>729</v>
      </c>
      <c r="M252">
        <v>6006599</v>
      </c>
      <c r="N252" t="s">
        <v>263</v>
      </c>
    </row>
    <row r="253" spans="1:14">
      <c r="A253">
        <v>49</v>
      </c>
      <c r="B253" t="s">
        <v>463</v>
      </c>
      <c r="C253">
        <v>1338183</v>
      </c>
      <c r="D253">
        <v>1</v>
      </c>
      <c r="E253" s="1">
        <v>45274</v>
      </c>
      <c r="F253" t="s">
        <v>729</v>
      </c>
      <c r="G253" s="1">
        <v>46081</v>
      </c>
      <c r="M253">
        <v>5003426</v>
      </c>
      <c r="N253" t="s">
        <v>848</v>
      </c>
    </row>
    <row r="254" spans="1:14">
      <c r="A254">
        <v>48</v>
      </c>
      <c r="B254" t="s">
        <v>463</v>
      </c>
      <c r="C254">
        <v>1338183</v>
      </c>
      <c r="D254">
        <v>1</v>
      </c>
      <c r="E254" s="1">
        <v>45274</v>
      </c>
      <c r="F254" t="s">
        <v>729</v>
      </c>
      <c r="G254" s="1">
        <v>46081</v>
      </c>
      <c r="M254">
        <v>5003427</v>
      </c>
      <c r="N254" t="s">
        <v>251</v>
      </c>
    </row>
    <row r="255" spans="1:14">
      <c r="A255">
        <v>47</v>
      </c>
      <c r="B255" t="s">
        <v>455</v>
      </c>
      <c r="C255">
        <v>1417472</v>
      </c>
      <c r="D255">
        <v>1</v>
      </c>
      <c r="E255" s="1">
        <v>45362</v>
      </c>
      <c r="F255" t="s">
        <v>734</v>
      </c>
      <c r="G255" s="1">
        <v>46069</v>
      </c>
      <c r="H255" s="1">
        <v>45401</v>
      </c>
      <c r="I255" t="s">
        <v>731</v>
      </c>
      <c r="J255" s="1">
        <v>45565</v>
      </c>
      <c r="K255" t="s">
        <v>731</v>
      </c>
      <c r="L255" t="s">
        <v>781</v>
      </c>
      <c r="M255">
        <v>5006622</v>
      </c>
      <c r="N255" t="s">
        <v>231</v>
      </c>
    </row>
    <row r="256" spans="1:14">
      <c r="A256">
        <v>46</v>
      </c>
      <c r="B256" t="s">
        <v>455</v>
      </c>
      <c r="C256">
        <v>1417472</v>
      </c>
      <c r="D256">
        <v>1</v>
      </c>
      <c r="E256" s="1">
        <v>45334</v>
      </c>
      <c r="F256" t="s">
        <v>734</v>
      </c>
      <c r="G256" s="1">
        <v>46069</v>
      </c>
      <c r="H256" s="1">
        <v>45359</v>
      </c>
      <c r="I256" t="s">
        <v>729</v>
      </c>
      <c r="J256" s="1">
        <v>45401</v>
      </c>
      <c r="K256" t="s">
        <v>731</v>
      </c>
      <c r="M256">
        <v>5006622</v>
      </c>
      <c r="N256" t="s">
        <v>231</v>
      </c>
    </row>
    <row r="257" spans="1:14">
      <c r="A257">
        <v>45</v>
      </c>
      <c r="B257" t="s">
        <v>423</v>
      </c>
      <c r="C257">
        <v>3416937</v>
      </c>
      <c r="D257">
        <v>1</v>
      </c>
      <c r="E257" s="1">
        <v>45334</v>
      </c>
      <c r="F257" t="s">
        <v>734</v>
      </c>
      <c r="G257" s="1">
        <v>45700</v>
      </c>
      <c r="H257" s="1">
        <v>45369</v>
      </c>
      <c r="I257" t="s">
        <v>729</v>
      </c>
      <c r="J257" s="1">
        <v>45406</v>
      </c>
      <c r="K257" t="s">
        <v>734</v>
      </c>
      <c r="L257" t="s">
        <v>760</v>
      </c>
      <c r="M257">
        <v>6010275</v>
      </c>
      <c r="N257">
        <v>20066</v>
      </c>
    </row>
    <row r="258" spans="1:14">
      <c r="A258">
        <v>44</v>
      </c>
      <c r="B258" t="s">
        <v>327</v>
      </c>
      <c r="C258">
        <v>3429147</v>
      </c>
      <c r="D258">
        <v>1</v>
      </c>
      <c r="E258" s="1">
        <v>45357</v>
      </c>
      <c r="F258" t="s">
        <v>729</v>
      </c>
      <c r="G258" s="1">
        <v>45722</v>
      </c>
      <c r="H258" s="1">
        <v>45371</v>
      </c>
      <c r="I258" t="s">
        <v>729</v>
      </c>
      <c r="J258" s="1">
        <v>45411</v>
      </c>
      <c r="K258" t="s">
        <v>731</v>
      </c>
      <c r="L258" t="s">
        <v>776</v>
      </c>
      <c r="M258">
        <v>6032171</v>
      </c>
      <c r="N258">
        <v>16168382</v>
      </c>
    </row>
    <row r="259" spans="1:14" ht="28.5">
      <c r="A259">
        <v>43</v>
      </c>
      <c r="B259" s="2" t="s">
        <v>795</v>
      </c>
      <c r="C259">
        <v>3415474</v>
      </c>
      <c r="D259">
        <v>1</v>
      </c>
      <c r="E259" s="1">
        <v>45357</v>
      </c>
      <c r="F259" t="s">
        <v>729</v>
      </c>
      <c r="G259" s="1">
        <v>45722</v>
      </c>
      <c r="H259" s="1">
        <v>45411</v>
      </c>
      <c r="I259" t="s">
        <v>729</v>
      </c>
      <c r="J259" s="1">
        <v>45439</v>
      </c>
      <c r="K259" t="s">
        <v>734</v>
      </c>
      <c r="L259" t="s">
        <v>776</v>
      </c>
      <c r="M259">
        <v>6010225</v>
      </c>
      <c r="N259">
        <v>16170713</v>
      </c>
    </row>
    <row r="260" spans="1:14">
      <c r="A260">
        <v>42</v>
      </c>
      <c r="B260" t="s">
        <v>471</v>
      </c>
      <c r="C260" t="s">
        <v>770</v>
      </c>
      <c r="D260">
        <v>1</v>
      </c>
      <c r="E260" s="1">
        <v>45356</v>
      </c>
      <c r="F260" t="s">
        <v>729</v>
      </c>
      <c r="G260" s="1">
        <v>46840</v>
      </c>
      <c r="H260" s="1">
        <v>45371</v>
      </c>
      <c r="I260" t="s">
        <v>731</v>
      </c>
      <c r="J260" s="1">
        <v>45404</v>
      </c>
      <c r="K260" t="s">
        <v>734</v>
      </c>
      <c r="L260" t="s">
        <v>771</v>
      </c>
      <c r="M260">
        <v>6032079</v>
      </c>
      <c r="N260">
        <v>6000644</v>
      </c>
    </row>
    <row r="261" spans="1:14">
      <c r="A261">
        <v>41</v>
      </c>
      <c r="B261" t="s">
        <v>461</v>
      </c>
      <c r="C261">
        <v>225560</v>
      </c>
      <c r="D261">
        <v>1</v>
      </c>
      <c r="E261" s="1">
        <v>45268</v>
      </c>
      <c r="F261" t="s">
        <v>734</v>
      </c>
      <c r="G261" s="1">
        <v>46081</v>
      </c>
      <c r="H261" s="1">
        <v>45337</v>
      </c>
      <c r="I261" t="s">
        <v>729</v>
      </c>
      <c r="J261" s="1">
        <v>45455</v>
      </c>
      <c r="K261" t="s">
        <v>729</v>
      </c>
      <c r="M261">
        <v>4230436</v>
      </c>
      <c r="N261" t="s">
        <v>256</v>
      </c>
    </row>
    <row r="262" spans="1:14">
      <c r="A262">
        <v>40</v>
      </c>
      <c r="B262" t="s">
        <v>461</v>
      </c>
      <c r="C262">
        <v>225560</v>
      </c>
      <c r="D262">
        <v>1</v>
      </c>
      <c r="E262" s="1">
        <v>45205</v>
      </c>
      <c r="F262" t="s">
        <v>729</v>
      </c>
      <c r="G262" s="1">
        <v>46081</v>
      </c>
      <c r="H262" s="1">
        <v>45254</v>
      </c>
      <c r="I262" t="s">
        <v>729</v>
      </c>
      <c r="J262" s="1">
        <v>45337</v>
      </c>
      <c r="K262" t="s">
        <v>729</v>
      </c>
      <c r="M262">
        <v>4230436</v>
      </c>
      <c r="N262" t="s">
        <v>256</v>
      </c>
    </row>
    <row r="263" spans="1:14">
      <c r="A263">
        <v>39</v>
      </c>
      <c r="B263" t="s">
        <v>457</v>
      </c>
      <c r="C263" t="s">
        <v>747</v>
      </c>
      <c r="D263">
        <v>1</v>
      </c>
      <c r="E263" s="1">
        <v>45337</v>
      </c>
      <c r="F263" t="s">
        <v>734</v>
      </c>
      <c r="G263" s="1">
        <v>45832</v>
      </c>
      <c r="H263" s="1">
        <v>45415</v>
      </c>
      <c r="I263" t="s">
        <v>731</v>
      </c>
      <c r="J263" s="1">
        <v>45475</v>
      </c>
      <c r="K263" t="s">
        <v>731</v>
      </c>
      <c r="L263" t="s">
        <v>763</v>
      </c>
      <c r="M263">
        <v>5005808</v>
      </c>
      <c r="N263" t="s">
        <v>249</v>
      </c>
    </row>
    <row r="264" spans="1:14">
      <c r="A264">
        <v>38</v>
      </c>
      <c r="B264" t="s">
        <v>53</v>
      </c>
      <c r="C264" t="s">
        <v>762</v>
      </c>
      <c r="D264">
        <v>1</v>
      </c>
      <c r="E264" s="1">
        <v>45337</v>
      </c>
      <c r="F264" t="s">
        <v>734</v>
      </c>
      <c r="G264" s="1">
        <v>46596</v>
      </c>
      <c r="H264" s="1">
        <v>45420</v>
      </c>
      <c r="I264" t="s">
        <v>732</v>
      </c>
      <c r="J264" s="1">
        <v>45693</v>
      </c>
      <c r="K264" t="s">
        <v>731</v>
      </c>
      <c r="L264" t="s">
        <v>763</v>
      </c>
      <c r="M264">
        <v>5003463</v>
      </c>
      <c r="N264" t="s">
        <v>248</v>
      </c>
    </row>
    <row r="265" spans="1:14">
      <c r="A265">
        <v>37</v>
      </c>
      <c r="B265" t="s">
        <v>485</v>
      </c>
      <c r="C265" t="s">
        <v>761</v>
      </c>
      <c r="D265">
        <v>1</v>
      </c>
      <c r="E265" s="1">
        <v>45327</v>
      </c>
      <c r="F265" t="s">
        <v>729</v>
      </c>
      <c r="G265" s="1">
        <v>45717</v>
      </c>
      <c r="H265" s="1">
        <v>45327</v>
      </c>
      <c r="I265" t="s">
        <v>729</v>
      </c>
      <c r="M265">
        <v>6040077</v>
      </c>
      <c r="N265" t="s">
        <v>264</v>
      </c>
    </row>
    <row r="266" spans="1:14" ht="28.5">
      <c r="A266">
        <v>36</v>
      </c>
      <c r="B266" s="2" t="s">
        <v>795</v>
      </c>
      <c r="C266">
        <v>3018207</v>
      </c>
      <c r="D266">
        <v>1</v>
      </c>
      <c r="E266" s="1">
        <v>45329</v>
      </c>
      <c r="F266" t="s">
        <v>729</v>
      </c>
      <c r="G266" s="1">
        <v>45695</v>
      </c>
      <c r="H266" s="1">
        <v>45369</v>
      </c>
      <c r="I266" t="s">
        <v>729</v>
      </c>
      <c r="J266" s="1">
        <v>45411</v>
      </c>
      <c r="K266" t="s">
        <v>729</v>
      </c>
      <c r="L266" t="s">
        <v>760</v>
      </c>
      <c r="M266">
        <v>6010225</v>
      </c>
      <c r="N266">
        <v>16170713</v>
      </c>
    </row>
    <row r="267" spans="1:14">
      <c r="A267">
        <v>35</v>
      </c>
      <c r="B267" t="s">
        <v>473</v>
      </c>
      <c r="C267">
        <v>3415663</v>
      </c>
      <c r="D267">
        <v>1</v>
      </c>
      <c r="E267" s="1">
        <v>45329</v>
      </c>
      <c r="F267" t="s">
        <v>729</v>
      </c>
      <c r="G267" s="1">
        <v>45695</v>
      </c>
      <c r="H267" s="1">
        <v>45421</v>
      </c>
      <c r="I267" t="s">
        <v>732</v>
      </c>
      <c r="J267" s="1">
        <v>45505</v>
      </c>
      <c r="K267" t="s">
        <v>731</v>
      </c>
      <c r="L267" t="s">
        <v>760</v>
      </c>
      <c r="M267">
        <v>6010249</v>
      </c>
      <c r="N267">
        <v>16053485</v>
      </c>
    </row>
    <row r="268" spans="1:14">
      <c r="A268">
        <v>34</v>
      </c>
      <c r="B268" t="s">
        <v>759</v>
      </c>
      <c r="C268" t="s">
        <v>757</v>
      </c>
      <c r="D268">
        <v>1</v>
      </c>
      <c r="E268" s="1">
        <v>45317</v>
      </c>
      <c r="F268" t="s">
        <v>729</v>
      </c>
      <c r="G268" s="1">
        <v>45681</v>
      </c>
      <c r="H268" s="1">
        <v>45435</v>
      </c>
      <c r="I268" t="s">
        <v>731</v>
      </c>
      <c r="J268" s="1">
        <v>45595</v>
      </c>
      <c r="K268" t="s">
        <v>731</v>
      </c>
      <c r="L268" t="s">
        <v>758</v>
      </c>
      <c r="M268">
        <v>6031790</v>
      </c>
      <c r="N268" t="s">
        <v>756</v>
      </c>
    </row>
    <row r="269" spans="1:14">
      <c r="A269">
        <v>33</v>
      </c>
      <c r="B269" t="s">
        <v>759</v>
      </c>
      <c r="C269" t="s">
        <v>757</v>
      </c>
      <c r="D269">
        <v>1</v>
      </c>
      <c r="E269" s="1">
        <v>45317</v>
      </c>
      <c r="F269" t="s">
        <v>729</v>
      </c>
      <c r="G269" s="1">
        <v>45681</v>
      </c>
      <c r="H269" s="1">
        <v>45321</v>
      </c>
      <c r="I269" t="s">
        <v>731</v>
      </c>
      <c r="J269" s="1">
        <v>45434</v>
      </c>
      <c r="K269" t="s">
        <v>731</v>
      </c>
      <c r="L269" t="s">
        <v>758</v>
      </c>
      <c r="M269">
        <v>6031790</v>
      </c>
      <c r="N269" t="s">
        <v>756</v>
      </c>
    </row>
    <row r="270" spans="1:14">
      <c r="A270">
        <v>32</v>
      </c>
      <c r="B270" t="s">
        <v>466</v>
      </c>
      <c r="C270">
        <v>1341616</v>
      </c>
      <c r="D270">
        <v>1</v>
      </c>
      <c r="E270" s="1">
        <v>45272</v>
      </c>
      <c r="F270" t="s">
        <v>734</v>
      </c>
      <c r="G270" s="1">
        <v>45798</v>
      </c>
      <c r="H270" s="1">
        <v>45315</v>
      </c>
      <c r="I270" t="s">
        <v>732</v>
      </c>
      <c r="J270" s="1">
        <v>45356</v>
      </c>
      <c r="K270" t="s">
        <v>732</v>
      </c>
      <c r="L270" t="s">
        <v>751</v>
      </c>
    </row>
    <row r="271" spans="1:14">
      <c r="A271">
        <v>31</v>
      </c>
      <c r="B271" t="s">
        <v>457</v>
      </c>
      <c r="C271" t="s">
        <v>747</v>
      </c>
      <c r="D271">
        <v>1</v>
      </c>
      <c r="E271" s="1">
        <v>45274</v>
      </c>
      <c r="F271" t="s">
        <v>729</v>
      </c>
      <c r="G271" s="1">
        <v>45832</v>
      </c>
      <c r="H271" s="1">
        <v>45274</v>
      </c>
      <c r="I271" t="s">
        <v>729</v>
      </c>
      <c r="J271" s="1">
        <v>45302</v>
      </c>
      <c r="K271" t="s">
        <v>729</v>
      </c>
    </row>
    <row r="272" spans="1:14">
      <c r="A272">
        <v>30</v>
      </c>
      <c r="B272" t="s">
        <v>327</v>
      </c>
      <c r="C272">
        <v>3384574</v>
      </c>
      <c r="D272">
        <v>1</v>
      </c>
      <c r="E272" s="1">
        <v>45294</v>
      </c>
      <c r="F272" t="s">
        <v>729</v>
      </c>
      <c r="G272" s="1">
        <v>45660</v>
      </c>
      <c r="H272" s="1">
        <v>45300</v>
      </c>
      <c r="I272" t="s">
        <v>732</v>
      </c>
      <c r="J272" s="1">
        <v>45371</v>
      </c>
      <c r="K272" t="s">
        <v>729</v>
      </c>
      <c r="L272" t="s">
        <v>750</v>
      </c>
    </row>
    <row r="273" spans="1:12">
      <c r="A273">
        <v>29</v>
      </c>
      <c r="B273" t="s">
        <v>795</v>
      </c>
      <c r="C273">
        <v>3337794</v>
      </c>
      <c r="D273">
        <v>1</v>
      </c>
      <c r="E273" s="1">
        <v>45294</v>
      </c>
      <c r="F273" t="s">
        <v>729</v>
      </c>
      <c r="G273" s="1">
        <v>45660</v>
      </c>
      <c r="H273" s="1">
        <v>45300</v>
      </c>
      <c r="I273" t="s">
        <v>732</v>
      </c>
      <c r="J273" s="1">
        <v>45369</v>
      </c>
      <c r="K273" t="s">
        <v>729</v>
      </c>
      <c r="L273" t="s">
        <v>750</v>
      </c>
    </row>
    <row r="274" spans="1:12">
      <c r="A274">
        <v>28</v>
      </c>
      <c r="B274" t="s">
        <v>423</v>
      </c>
      <c r="C274">
        <v>3287661</v>
      </c>
      <c r="D274">
        <v>1</v>
      </c>
      <c r="E274" s="1">
        <v>45294</v>
      </c>
      <c r="F274" t="s">
        <v>729</v>
      </c>
      <c r="G274" s="1">
        <v>45660</v>
      </c>
      <c r="H274" s="1">
        <v>45310</v>
      </c>
      <c r="I274" t="s">
        <v>729</v>
      </c>
      <c r="J274" s="1">
        <v>45369</v>
      </c>
      <c r="K274" t="s">
        <v>731</v>
      </c>
      <c r="L274" t="s">
        <v>750</v>
      </c>
    </row>
    <row r="275" spans="1:12">
      <c r="A275">
        <v>27</v>
      </c>
      <c r="B275" t="s">
        <v>455</v>
      </c>
      <c r="C275">
        <v>1408627</v>
      </c>
      <c r="D275">
        <v>1</v>
      </c>
      <c r="E275" s="1">
        <v>45299</v>
      </c>
      <c r="F275" t="s">
        <v>734</v>
      </c>
      <c r="G275" s="1">
        <v>46234</v>
      </c>
      <c r="H275" s="1">
        <v>45323</v>
      </c>
      <c r="I275" t="s">
        <v>731</v>
      </c>
      <c r="J275" s="1">
        <v>45359</v>
      </c>
      <c r="K275" t="s">
        <v>731</v>
      </c>
      <c r="L275" t="s">
        <v>749</v>
      </c>
    </row>
    <row r="276" spans="1:12">
      <c r="A276">
        <v>26</v>
      </c>
      <c r="B276" t="s">
        <v>457</v>
      </c>
      <c r="C276" t="s">
        <v>747</v>
      </c>
      <c r="D276">
        <v>1</v>
      </c>
      <c r="E276" s="1">
        <v>45299</v>
      </c>
      <c r="F276" t="s">
        <v>734</v>
      </c>
      <c r="G276" s="1">
        <v>45832</v>
      </c>
      <c r="H276" s="1">
        <v>45302</v>
      </c>
      <c r="I276" t="s">
        <v>729</v>
      </c>
      <c r="J276" s="1">
        <v>45322</v>
      </c>
      <c r="K276" t="s">
        <v>729</v>
      </c>
    </row>
    <row r="277" spans="1:12">
      <c r="A277">
        <v>25</v>
      </c>
      <c r="B277" t="s">
        <v>457</v>
      </c>
      <c r="C277" t="s">
        <v>747</v>
      </c>
      <c r="D277">
        <v>1</v>
      </c>
      <c r="E277" s="1">
        <v>45299</v>
      </c>
      <c r="F277" t="s">
        <v>734</v>
      </c>
      <c r="G277" s="1">
        <v>45832</v>
      </c>
      <c r="H277" s="1">
        <v>45322</v>
      </c>
      <c r="I277" t="s">
        <v>729</v>
      </c>
      <c r="J277" s="1">
        <v>45413</v>
      </c>
      <c r="K277" t="s">
        <v>729</v>
      </c>
      <c r="L277" t="s">
        <v>748</v>
      </c>
    </row>
    <row r="278" spans="1:12">
      <c r="A278">
        <v>24</v>
      </c>
      <c r="B278" t="s">
        <v>471</v>
      </c>
      <c r="C278" t="s">
        <v>735</v>
      </c>
      <c r="D278">
        <v>1</v>
      </c>
      <c r="E278" s="1">
        <v>45300</v>
      </c>
      <c r="F278" t="s">
        <v>734</v>
      </c>
      <c r="G278" s="1">
        <v>46812</v>
      </c>
      <c r="H278" s="1">
        <v>45345</v>
      </c>
      <c r="I278" t="s">
        <v>731</v>
      </c>
      <c r="J278" s="1">
        <v>45371</v>
      </c>
      <c r="K278" t="s">
        <v>731</v>
      </c>
      <c r="L278" t="s">
        <v>746</v>
      </c>
    </row>
    <row r="279" spans="1:12">
      <c r="A279">
        <v>23</v>
      </c>
      <c r="B279" t="s">
        <v>743</v>
      </c>
      <c r="C279">
        <v>43040033</v>
      </c>
      <c r="D279">
        <v>1</v>
      </c>
      <c r="E279" s="1">
        <v>45300</v>
      </c>
      <c r="F279" t="s">
        <v>729</v>
      </c>
      <c r="G279" s="1">
        <v>45761</v>
      </c>
      <c r="H279" s="1">
        <v>45498</v>
      </c>
      <c r="I279" t="s">
        <v>732</v>
      </c>
      <c r="J279" s="1">
        <v>45552</v>
      </c>
      <c r="K279" t="s">
        <v>732</v>
      </c>
    </row>
    <row r="280" spans="1:12">
      <c r="A280">
        <v>22</v>
      </c>
      <c r="B280" t="s">
        <v>743</v>
      </c>
      <c r="C280">
        <v>43040033</v>
      </c>
      <c r="D280">
        <v>1</v>
      </c>
      <c r="E280" s="1">
        <v>45300</v>
      </c>
      <c r="F280" t="s">
        <v>729</v>
      </c>
      <c r="G280" s="1">
        <v>45761</v>
      </c>
      <c r="H280" s="1">
        <v>45315</v>
      </c>
      <c r="I280" t="s">
        <v>732</v>
      </c>
      <c r="J280" s="1">
        <v>45498</v>
      </c>
      <c r="K280" t="s">
        <v>732</v>
      </c>
      <c r="L280" t="s">
        <v>746</v>
      </c>
    </row>
    <row r="281" spans="1:12">
      <c r="A281">
        <v>21</v>
      </c>
      <c r="B281" t="s">
        <v>315</v>
      </c>
      <c r="C281">
        <v>629</v>
      </c>
      <c r="D281">
        <v>1</v>
      </c>
      <c r="E281" s="1">
        <v>44972</v>
      </c>
      <c r="F281" t="s">
        <v>734</v>
      </c>
      <c r="G281" s="1">
        <v>45657</v>
      </c>
      <c r="H281" s="1">
        <v>45433</v>
      </c>
      <c r="I281" t="s">
        <v>731</v>
      </c>
      <c r="J281" s="1">
        <v>45299</v>
      </c>
      <c r="K281" t="s">
        <v>731</v>
      </c>
    </row>
    <row r="282" spans="1:12">
      <c r="A282">
        <v>20</v>
      </c>
      <c r="B282" t="s">
        <v>427</v>
      </c>
      <c r="C282">
        <v>92533</v>
      </c>
      <c r="D282">
        <v>1</v>
      </c>
      <c r="E282" s="1">
        <v>45244</v>
      </c>
      <c r="F282" t="s">
        <v>729</v>
      </c>
      <c r="G282" s="1">
        <v>45610</v>
      </c>
      <c r="H282" s="1">
        <v>45330</v>
      </c>
      <c r="I282" t="s">
        <v>731</v>
      </c>
      <c r="J282" s="1">
        <v>45565</v>
      </c>
      <c r="K282" t="s">
        <v>731</v>
      </c>
    </row>
    <row r="283" spans="1:12">
      <c r="A283">
        <v>19</v>
      </c>
      <c r="B283" t="s">
        <v>975</v>
      </c>
      <c r="C283" t="s">
        <v>742</v>
      </c>
      <c r="D283">
        <v>1</v>
      </c>
      <c r="E283" s="1">
        <v>45071</v>
      </c>
      <c r="F283" t="s">
        <v>729</v>
      </c>
      <c r="G283" s="1">
        <v>45606</v>
      </c>
      <c r="H283" s="1">
        <v>45120</v>
      </c>
      <c r="I283" t="s">
        <v>729</v>
      </c>
      <c r="J283" s="1">
        <v>45226</v>
      </c>
      <c r="K283" t="s">
        <v>729</v>
      </c>
    </row>
    <row r="284" spans="1:12">
      <c r="A284">
        <v>18</v>
      </c>
      <c r="B284" t="s">
        <v>478</v>
      </c>
      <c r="C284">
        <v>102481323</v>
      </c>
      <c r="D284">
        <v>1</v>
      </c>
      <c r="E284" s="1">
        <v>45234</v>
      </c>
      <c r="F284" t="s">
        <v>729</v>
      </c>
      <c r="G284" s="1">
        <v>45600</v>
      </c>
      <c r="H284" s="1">
        <v>45264</v>
      </c>
      <c r="I284" t="s">
        <v>731</v>
      </c>
      <c r="J284" s="1">
        <v>45345</v>
      </c>
      <c r="K284" t="s">
        <v>731</v>
      </c>
    </row>
    <row r="285" spans="1:12">
      <c r="A285">
        <v>17</v>
      </c>
      <c r="B285" t="s">
        <v>473</v>
      </c>
      <c r="C285">
        <v>3358880</v>
      </c>
      <c r="D285">
        <v>1</v>
      </c>
      <c r="E285" s="1">
        <v>45258</v>
      </c>
      <c r="F285" t="s">
        <v>729</v>
      </c>
      <c r="G285" s="1">
        <v>45900</v>
      </c>
      <c r="H285" s="1">
        <v>45258</v>
      </c>
      <c r="I285" t="s">
        <v>729</v>
      </c>
      <c r="J285" s="1">
        <v>45390</v>
      </c>
      <c r="K285" t="s">
        <v>732</v>
      </c>
    </row>
    <row r="286" spans="1:12">
      <c r="A286">
        <v>16</v>
      </c>
      <c r="B286" t="s">
        <v>483</v>
      </c>
      <c r="C286" t="s">
        <v>741</v>
      </c>
      <c r="D286">
        <v>1</v>
      </c>
      <c r="E286" s="1">
        <v>45268</v>
      </c>
      <c r="F286" t="s">
        <v>729</v>
      </c>
      <c r="G286" s="1">
        <v>45900</v>
      </c>
      <c r="H286" s="1">
        <v>45300</v>
      </c>
      <c r="I286" t="s">
        <v>731</v>
      </c>
      <c r="J286" s="1">
        <v>45484</v>
      </c>
      <c r="K286" t="s">
        <v>731</v>
      </c>
    </row>
    <row r="287" spans="1:12">
      <c r="A287">
        <v>15</v>
      </c>
      <c r="B287" t="s">
        <v>498</v>
      </c>
      <c r="C287">
        <v>130</v>
      </c>
      <c r="D287">
        <v>1</v>
      </c>
      <c r="E287" s="1">
        <v>45181</v>
      </c>
      <c r="F287" t="s">
        <v>729</v>
      </c>
      <c r="G287" s="1">
        <v>46112</v>
      </c>
    </row>
    <row r="288" spans="1:12">
      <c r="A288">
        <v>14</v>
      </c>
      <c r="B288" t="s">
        <v>471</v>
      </c>
      <c r="C288" t="s">
        <v>735</v>
      </c>
      <c r="D288">
        <v>1</v>
      </c>
      <c r="E288" s="1">
        <v>45268</v>
      </c>
      <c r="F288" t="s">
        <v>729</v>
      </c>
      <c r="G288" s="1">
        <v>46812</v>
      </c>
      <c r="H288" s="1">
        <v>45300</v>
      </c>
      <c r="I288" t="s">
        <v>732</v>
      </c>
      <c r="J288" s="1">
        <v>45345</v>
      </c>
      <c r="K288" t="s">
        <v>731</v>
      </c>
    </row>
    <row r="289" spans="1:11">
      <c r="A289">
        <v>13</v>
      </c>
      <c r="B289" t="s">
        <v>792</v>
      </c>
      <c r="C289" t="s">
        <v>740</v>
      </c>
      <c r="D289">
        <v>1</v>
      </c>
      <c r="E289" s="1">
        <v>45281</v>
      </c>
      <c r="F289" t="s">
        <v>729</v>
      </c>
      <c r="G289" s="1">
        <v>46708</v>
      </c>
      <c r="H289" s="1">
        <v>44950</v>
      </c>
      <c r="I289" t="s">
        <v>731</v>
      </c>
    </row>
    <row r="290" spans="1:11">
      <c r="A290">
        <v>12</v>
      </c>
      <c r="B290" t="s">
        <v>330</v>
      </c>
      <c r="C290" t="s">
        <v>739</v>
      </c>
      <c r="D290">
        <v>1</v>
      </c>
      <c r="E290" s="1">
        <v>45156</v>
      </c>
      <c r="F290" t="s">
        <v>729</v>
      </c>
      <c r="G290" s="1">
        <v>45535</v>
      </c>
      <c r="H290" s="1">
        <v>45446</v>
      </c>
      <c r="I290" t="s">
        <v>732</v>
      </c>
      <c r="J290" s="1">
        <v>45582</v>
      </c>
      <c r="K290" t="s">
        <v>731</v>
      </c>
    </row>
    <row r="291" spans="1:11">
      <c r="A291">
        <v>11</v>
      </c>
      <c r="B291" t="s">
        <v>332</v>
      </c>
      <c r="C291" t="s">
        <v>738</v>
      </c>
      <c r="D291">
        <v>1</v>
      </c>
      <c r="E291" s="1">
        <v>45075</v>
      </c>
      <c r="F291" t="s">
        <v>729</v>
      </c>
      <c r="G291" s="1">
        <v>45604</v>
      </c>
      <c r="H291" s="1">
        <v>45322</v>
      </c>
      <c r="I291" t="s">
        <v>732</v>
      </c>
      <c r="J291" s="1">
        <v>45545</v>
      </c>
      <c r="K291" t="s">
        <v>732</v>
      </c>
    </row>
    <row r="292" spans="1:11">
      <c r="A292">
        <v>10</v>
      </c>
      <c r="B292" t="s">
        <v>53</v>
      </c>
      <c r="C292" t="s">
        <v>737</v>
      </c>
      <c r="D292">
        <v>1</v>
      </c>
      <c r="E292" s="1">
        <v>45156</v>
      </c>
      <c r="F292" t="s">
        <v>729</v>
      </c>
      <c r="G292" s="1">
        <v>46441</v>
      </c>
      <c r="H292" s="1">
        <v>45314</v>
      </c>
      <c r="I292" t="s">
        <v>732</v>
      </c>
      <c r="J292" s="1">
        <v>45418</v>
      </c>
      <c r="K292" t="s">
        <v>732</v>
      </c>
    </row>
    <row r="293" spans="1:11">
      <c r="A293">
        <v>9</v>
      </c>
      <c r="B293" t="s">
        <v>456</v>
      </c>
      <c r="C293" t="s">
        <v>736</v>
      </c>
      <c r="D293">
        <v>1</v>
      </c>
      <c r="E293" s="1">
        <v>45280</v>
      </c>
      <c r="F293" t="s">
        <v>729</v>
      </c>
      <c r="G293" s="1">
        <v>44834</v>
      </c>
      <c r="H293" s="1">
        <v>45729</v>
      </c>
      <c r="I293" t="s">
        <v>732</v>
      </c>
    </row>
    <row r="294" spans="1:11">
      <c r="A294">
        <v>8</v>
      </c>
      <c r="B294" t="s">
        <v>478</v>
      </c>
      <c r="C294">
        <v>102481323</v>
      </c>
      <c r="D294">
        <v>1</v>
      </c>
      <c r="E294" s="1">
        <v>44936</v>
      </c>
      <c r="F294" t="s">
        <v>731</v>
      </c>
      <c r="G294" s="1">
        <v>45301</v>
      </c>
      <c r="H294" s="1">
        <v>45198</v>
      </c>
      <c r="I294" t="s">
        <v>731</v>
      </c>
      <c r="J294" s="1">
        <v>45209</v>
      </c>
      <c r="K294" t="s">
        <v>731</v>
      </c>
    </row>
    <row r="295" spans="1:11">
      <c r="A295">
        <v>7</v>
      </c>
      <c r="B295" t="s">
        <v>455</v>
      </c>
      <c r="C295">
        <v>1360540</v>
      </c>
      <c r="D295">
        <v>1</v>
      </c>
      <c r="E295" s="1">
        <v>45180</v>
      </c>
      <c r="F295" t="s">
        <v>731</v>
      </c>
      <c r="G295" s="1">
        <v>45546</v>
      </c>
      <c r="H295" s="1">
        <v>45180</v>
      </c>
      <c r="I295" t="s">
        <v>731</v>
      </c>
      <c r="J295" s="1">
        <v>45359</v>
      </c>
      <c r="K295" t="s">
        <v>731</v>
      </c>
    </row>
    <row r="296" spans="1:11">
      <c r="A296">
        <v>6</v>
      </c>
      <c r="B296" t="s">
        <v>471</v>
      </c>
      <c r="C296" t="s">
        <v>735</v>
      </c>
      <c r="D296">
        <v>1</v>
      </c>
      <c r="E296" s="1">
        <v>45233</v>
      </c>
      <c r="F296" t="s">
        <v>731</v>
      </c>
      <c r="G296" s="1">
        <v>46812</v>
      </c>
      <c r="H296" s="1">
        <v>45233</v>
      </c>
      <c r="I296" t="s">
        <v>731</v>
      </c>
      <c r="J296" s="1">
        <v>45300</v>
      </c>
      <c r="K296" t="s">
        <v>732</v>
      </c>
    </row>
    <row r="297" spans="1:11">
      <c r="A297">
        <v>5</v>
      </c>
      <c r="B297" t="s">
        <v>489</v>
      </c>
      <c r="C297" t="s">
        <v>733</v>
      </c>
      <c r="D297">
        <v>1</v>
      </c>
      <c r="E297" s="1">
        <v>45246</v>
      </c>
      <c r="F297" t="s">
        <v>734</v>
      </c>
      <c r="G297" s="1">
        <v>45596</v>
      </c>
      <c r="H297" s="1">
        <v>45246</v>
      </c>
      <c r="I297" t="s">
        <v>731</v>
      </c>
      <c r="J297" s="1">
        <v>45432</v>
      </c>
      <c r="K297" t="s">
        <v>731</v>
      </c>
    </row>
    <row r="298" spans="1:11">
      <c r="A298">
        <v>4</v>
      </c>
      <c r="B298" t="s">
        <v>327</v>
      </c>
      <c r="C298">
        <v>3252501</v>
      </c>
      <c r="D298">
        <v>1</v>
      </c>
      <c r="E298" s="1">
        <v>45219</v>
      </c>
      <c r="F298" t="s">
        <v>732</v>
      </c>
      <c r="G298" s="1">
        <v>45585</v>
      </c>
      <c r="H298" s="1">
        <v>45243</v>
      </c>
      <c r="I298" t="s">
        <v>731</v>
      </c>
      <c r="J298" s="1">
        <v>45300</v>
      </c>
      <c r="K298" t="s">
        <v>732</v>
      </c>
    </row>
    <row r="299" spans="1:11" ht="28.5">
      <c r="A299">
        <v>3</v>
      </c>
      <c r="B299" s="5" t="s">
        <v>423</v>
      </c>
      <c r="C299">
        <v>3337042</v>
      </c>
      <c r="D299">
        <v>1</v>
      </c>
      <c r="E299" s="1">
        <v>45258</v>
      </c>
      <c r="F299" t="s">
        <v>732</v>
      </c>
      <c r="G299" s="1">
        <v>45624</v>
      </c>
      <c r="H299" s="1">
        <v>45265</v>
      </c>
      <c r="I299" t="s">
        <v>731</v>
      </c>
      <c r="J299" s="1">
        <v>45310</v>
      </c>
      <c r="K299" t="s">
        <v>729</v>
      </c>
    </row>
    <row r="300" spans="1:11">
      <c r="A300">
        <v>2</v>
      </c>
      <c r="B300" t="s">
        <v>460</v>
      </c>
      <c r="C300" t="s">
        <v>730</v>
      </c>
      <c r="D300">
        <v>1</v>
      </c>
      <c r="E300" s="1">
        <v>45271</v>
      </c>
      <c r="F300" t="s">
        <v>729</v>
      </c>
      <c r="G300" s="1">
        <v>46400</v>
      </c>
      <c r="H300" s="1">
        <v>45278</v>
      </c>
      <c r="I300" t="s">
        <v>731</v>
      </c>
      <c r="J300" s="1">
        <v>45454</v>
      </c>
      <c r="K300" t="s">
        <v>729</v>
      </c>
    </row>
    <row r="301" spans="1:11">
      <c r="A301">
        <v>1</v>
      </c>
      <c r="B301" t="s">
        <v>460</v>
      </c>
      <c r="C301" t="s">
        <v>728</v>
      </c>
      <c r="D301">
        <v>1</v>
      </c>
      <c r="E301" s="1">
        <v>45175</v>
      </c>
      <c r="F301" t="s">
        <v>729</v>
      </c>
      <c r="G301" s="1">
        <v>46313</v>
      </c>
      <c r="H301" s="1">
        <v>45187</v>
      </c>
      <c r="I301" t="s">
        <v>729</v>
      </c>
      <c r="J301" s="1">
        <v>45271</v>
      </c>
      <c r="K301" t="s">
        <v>731</v>
      </c>
    </row>
  </sheetData>
  <sortState xmlns:xlrd2="http://schemas.microsoft.com/office/spreadsheetml/2017/richdata2" ref="A2:N301">
    <sortCondition descending="1" ref="A1"/>
  </sortState>
  <customSheetViews>
    <customSheetView guid="{2D7AA37D-8C06-47FC-8F44-3FA6E78D04F2}">
      <selection activeCell="B3" sqref="B3"/>
      <pageMargins left="0.7" right="0.7" top="0.75" bottom="0.75" header="0.3" footer="0.3"/>
      <pageSetup orientation="portrait" r:id="rId1"/>
    </customSheetView>
    <customSheetView guid="{9C8ADCBA-1E8C-4961-B877-3E192DBDFA7A}" showPageBreaks="1" topLeftCell="A2">
      <selection activeCell="B2" sqref="B2"/>
      <pageMargins left="0.7" right="0.7" top="0.75" bottom="0.75" header="0.3" footer="0.3"/>
      <pageSetup orientation="portrait" r:id="rId2"/>
    </customSheetView>
  </customSheetViews>
  <phoneticPr fontId="1" type="noConversion"/>
  <pageMargins left="0.7" right="0.7" top="0.75" bottom="0.75" header="0.3" footer="0.3"/>
  <pageSetup orientation="portrait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M225"/>
  <sheetViews>
    <sheetView topLeftCell="A13" workbookViewId="0">
      <selection activeCell="L41" sqref="L41"/>
    </sheetView>
  </sheetViews>
  <sheetFormatPr defaultRowHeight="14.25"/>
  <cols>
    <col min="1" max="1" width="30.73046875" customWidth="1"/>
    <col min="3" max="3" width="11.73046875" style="10" customWidth="1"/>
    <col min="7" max="7" width="12.3984375" customWidth="1"/>
    <col min="8" max="8" width="11.73046875" customWidth="1"/>
    <col min="9" max="9" width="12" customWidth="1"/>
    <col min="12" max="12" width="15.59765625" customWidth="1"/>
  </cols>
  <sheetData>
    <row r="1" spans="1:12">
      <c r="A1" t="s">
        <v>4</v>
      </c>
      <c r="B1" t="s">
        <v>1</v>
      </c>
      <c r="C1" s="10" t="s">
        <v>309</v>
      </c>
      <c r="D1" t="s">
        <v>306</v>
      </c>
      <c r="E1" t="s">
        <v>308</v>
      </c>
      <c r="F1" t="s">
        <v>321</v>
      </c>
      <c r="G1" t="s">
        <v>8</v>
      </c>
      <c r="H1" t="s">
        <v>324</v>
      </c>
      <c r="I1" t="s">
        <v>422</v>
      </c>
      <c r="J1" t="s">
        <v>453</v>
      </c>
      <c r="K1" t="s">
        <v>454</v>
      </c>
      <c r="L1" s="4" t="s">
        <v>506</v>
      </c>
    </row>
    <row r="2" spans="1:12">
      <c r="A2" s="2" t="s">
        <v>155</v>
      </c>
      <c r="B2">
        <v>-2</v>
      </c>
      <c r="C2" s="3" t="s">
        <v>397</v>
      </c>
      <c r="D2">
        <v>108.27</v>
      </c>
      <c r="E2">
        <f>D2*B2</f>
        <v>-216.54</v>
      </c>
      <c r="F2" t="s">
        <v>184</v>
      </c>
      <c r="G2" s="1">
        <v>45964</v>
      </c>
      <c r="H2" t="s">
        <v>325</v>
      </c>
      <c r="I2">
        <v>1</v>
      </c>
      <c r="J2" t="b">
        <f>B2&lt;I2</f>
        <v>1</v>
      </c>
      <c r="K2" t="b">
        <f>B2=0</f>
        <v>0</v>
      </c>
      <c r="L2" s="3" t="s">
        <v>291</v>
      </c>
    </row>
    <row r="3" spans="1:12">
      <c r="A3" s="2" t="s">
        <v>203</v>
      </c>
      <c r="B3">
        <v>-1</v>
      </c>
      <c r="C3" s="3" t="s">
        <v>377</v>
      </c>
      <c r="D3">
        <v>102.24</v>
      </c>
      <c r="E3">
        <f>D3*B3</f>
        <v>-102.24</v>
      </c>
      <c r="F3" t="s">
        <v>184</v>
      </c>
      <c r="G3" s="1">
        <v>45901</v>
      </c>
      <c r="H3" t="s">
        <v>325</v>
      </c>
      <c r="I3">
        <v>1</v>
      </c>
      <c r="J3" t="b">
        <f>B3&lt;I3</f>
        <v>1</v>
      </c>
      <c r="K3" t="b">
        <f>B3=0</f>
        <v>0</v>
      </c>
      <c r="L3" s="3" t="s">
        <v>507</v>
      </c>
    </row>
    <row r="4" spans="1:12">
      <c r="A4" t="s">
        <v>173</v>
      </c>
      <c r="B4">
        <v>-1</v>
      </c>
      <c r="C4" s="3" t="s">
        <v>394</v>
      </c>
      <c r="D4">
        <v>385</v>
      </c>
      <c r="E4">
        <f>D4*B4</f>
        <v>-385</v>
      </c>
      <c r="F4" t="s">
        <v>181</v>
      </c>
      <c r="G4" s="1">
        <v>46028</v>
      </c>
      <c r="H4" t="s">
        <v>325</v>
      </c>
      <c r="I4">
        <v>1</v>
      </c>
      <c r="J4" t="b">
        <f>B4&lt;I4</f>
        <v>1</v>
      </c>
      <c r="K4" t="b">
        <f>B4=0</f>
        <v>0</v>
      </c>
      <c r="L4" s="3" t="s">
        <v>234</v>
      </c>
    </row>
    <row r="5" spans="1:12">
      <c r="A5" s="2" t="s">
        <v>804</v>
      </c>
      <c r="B5">
        <v>-1</v>
      </c>
      <c r="C5" s="3" t="s">
        <v>380</v>
      </c>
      <c r="D5">
        <v>28.95</v>
      </c>
      <c r="E5">
        <f>D5*B5</f>
        <v>-28.95</v>
      </c>
      <c r="F5" t="s">
        <v>178</v>
      </c>
      <c r="G5" s="1">
        <v>46058</v>
      </c>
      <c r="H5" t="s">
        <v>325</v>
      </c>
      <c r="I5">
        <v>0</v>
      </c>
      <c r="J5" t="b">
        <f>B5&lt;I5</f>
        <v>1</v>
      </c>
      <c r="K5" t="b">
        <f>B5=0</f>
        <v>0</v>
      </c>
      <c r="L5" s="3" t="s">
        <v>278</v>
      </c>
    </row>
    <row r="6" spans="1:12">
      <c r="A6" s="2" t="s">
        <v>427</v>
      </c>
      <c r="B6">
        <v>0</v>
      </c>
      <c r="C6" s="3" t="s">
        <v>525</v>
      </c>
      <c r="D6">
        <v>130</v>
      </c>
      <c r="E6">
        <f>D6*B6</f>
        <v>0</v>
      </c>
      <c r="F6" s="2" t="s">
        <v>182</v>
      </c>
      <c r="G6" s="1">
        <v>45958</v>
      </c>
      <c r="H6" s="2" t="s">
        <v>325</v>
      </c>
      <c r="I6">
        <v>1</v>
      </c>
      <c r="J6" t="b">
        <f>B6&lt;I6</f>
        <v>1</v>
      </c>
      <c r="K6" t="b">
        <f>B6=0</f>
        <v>1</v>
      </c>
      <c r="L6" s="3" t="s">
        <v>429</v>
      </c>
    </row>
    <row r="7" spans="1:12">
      <c r="A7" s="2" t="s">
        <v>302</v>
      </c>
      <c r="B7">
        <v>0</v>
      </c>
      <c r="C7" s="3" t="s">
        <v>372</v>
      </c>
      <c r="D7">
        <v>400</v>
      </c>
      <c r="E7">
        <f>D7*B7</f>
        <v>0</v>
      </c>
      <c r="F7" t="s">
        <v>177</v>
      </c>
      <c r="G7" s="1">
        <v>45952</v>
      </c>
      <c r="H7" t="s">
        <v>325</v>
      </c>
      <c r="I7">
        <v>1</v>
      </c>
      <c r="J7" t="b">
        <f>B7&lt;I7</f>
        <v>1</v>
      </c>
      <c r="K7" t="b">
        <f>B7=0</f>
        <v>1</v>
      </c>
      <c r="L7" s="3" t="s">
        <v>265</v>
      </c>
    </row>
    <row r="8" spans="1:12">
      <c r="A8" s="2" t="s">
        <v>213</v>
      </c>
      <c r="B8">
        <v>0</v>
      </c>
      <c r="C8" s="3" t="s">
        <v>386</v>
      </c>
      <c r="D8">
        <v>155.69999999999999</v>
      </c>
      <c r="E8">
        <f>D8*B8</f>
        <v>0</v>
      </c>
      <c r="F8" t="s">
        <v>184</v>
      </c>
      <c r="G8" s="1">
        <v>45778</v>
      </c>
      <c r="H8" t="s">
        <v>325</v>
      </c>
      <c r="I8">
        <v>1</v>
      </c>
      <c r="J8" t="b">
        <f>B8&lt;I8</f>
        <v>1</v>
      </c>
      <c r="K8" t="b">
        <f>B8=0</f>
        <v>1</v>
      </c>
      <c r="L8" s="3" t="s">
        <v>283</v>
      </c>
    </row>
    <row r="9" spans="1:12">
      <c r="A9" t="s">
        <v>759</v>
      </c>
      <c r="B9">
        <v>0</v>
      </c>
      <c r="C9" s="4" t="s">
        <v>753</v>
      </c>
      <c r="D9">
        <v>76.58</v>
      </c>
      <c r="E9">
        <f>D9*B9</f>
        <v>0</v>
      </c>
      <c r="F9" t="s">
        <v>184</v>
      </c>
      <c r="G9" s="1">
        <v>45435</v>
      </c>
      <c r="H9" t="s">
        <v>325</v>
      </c>
      <c r="I9">
        <v>1</v>
      </c>
      <c r="J9" t="b">
        <f>B9&lt;I9</f>
        <v>1</v>
      </c>
      <c r="K9" t="b">
        <f>B9=0</f>
        <v>1</v>
      </c>
    </row>
    <row r="10" spans="1:12">
      <c r="A10" s="2" t="s">
        <v>143</v>
      </c>
      <c r="B10">
        <v>0</v>
      </c>
      <c r="C10" s="3" t="s">
        <v>353</v>
      </c>
      <c r="D10">
        <v>179.32</v>
      </c>
      <c r="E10">
        <f>D10*B10</f>
        <v>0</v>
      </c>
      <c r="F10" t="s">
        <v>180</v>
      </c>
      <c r="G10" s="1">
        <v>45650</v>
      </c>
      <c r="H10" t="s">
        <v>325</v>
      </c>
      <c r="I10">
        <v>1</v>
      </c>
      <c r="J10" t="b">
        <f>B10&lt;I10</f>
        <v>1</v>
      </c>
      <c r="K10" t="b">
        <f>B10=0</f>
        <v>1</v>
      </c>
      <c r="L10" s="3" t="s">
        <v>243</v>
      </c>
    </row>
    <row r="11" spans="1:12">
      <c r="A11" s="2" t="s">
        <v>196</v>
      </c>
      <c r="B11">
        <v>0</v>
      </c>
      <c r="C11" s="3" t="s">
        <v>421</v>
      </c>
      <c r="D11">
        <v>393</v>
      </c>
      <c r="E11">
        <f>D11*B11</f>
        <v>0</v>
      </c>
      <c r="F11" t="s">
        <v>179</v>
      </c>
      <c r="G11" s="1">
        <v>45566</v>
      </c>
      <c r="H11" t="s">
        <v>325</v>
      </c>
      <c r="I11">
        <v>1</v>
      </c>
      <c r="J11" t="b">
        <f>B11&lt;I11</f>
        <v>1</v>
      </c>
      <c r="K11" t="b">
        <f>B11=0</f>
        <v>1</v>
      </c>
      <c r="L11" s="3" t="s">
        <v>513</v>
      </c>
    </row>
    <row r="12" spans="1:12">
      <c r="A12" t="s">
        <v>866</v>
      </c>
      <c r="B12">
        <v>0</v>
      </c>
      <c r="C12" s="10">
        <v>6006535</v>
      </c>
      <c r="D12">
        <v>497.92</v>
      </c>
      <c r="E12">
        <f>D12*B12</f>
        <v>0</v>
      </c>
      <c r="F12" t="s">
        <v>182</v>
      </c>
      <c r="G12" s="1">
        <v>45442</v>
      </c>
      <c r="H12" t="s">
        <v>325</v>
      </c>
      <c r="I12">
        <v>1</v>
      </c>
      <c r="J12" t="b">
        <f>B12&lt;I12</f>
        <v>1</v>
      </c>
      <c r="K12" t="b">
        <f>B12=0</f>
        <v>1</v>
      </c>
      <c r="L12" t="s">
        <v>869</v>
      </c>
    </row>
    <row r="13" spans="1:12">
      <c r="A13" t="s">
        <v>777</v>
      </c>
      <c r="B13">
        <v>0</v>
      </c>
      <c r="C13" s="10">
        <v>4430556</v>
      </c>
      <c r="D13">
        <v>33.61</v>
      </c>
      <c r="E13">
        <f>D13*B13</f>
        <v>0</v>
      </c>
      <c r="F13" t="s">
        <v>176</v>
      </c>
      <c r="G13" s="1">
        <v>45365</v>
      </c>
      <c r="H13" t="s">
        <v>325</v>
      </c>
      <c r="I13">
        <v>0</v>
      </c>
      <c r="J13" t="b">
        <f>B13&lt;I13</f>
        <v>0</v>
      </c>
      <c r="K13" t="b">
        <f>B13=0</f>
        <v>1</v>
      </c>
      <c r="L13" t="s">
        <v>778</v>
      </c>
    </row>
    <row r="14" spans="1:12">
      <c r="A14" s="2" t="s">
        <v>439</v>
      </c>
      <c r="B14">
        <v>0</v>
      </c>
      <c r="C14" s="3" t="s">
        <v>348</v>
      </c>
      <c r="D14" s="6">
        <v>411</v>
      </c>
      <c r="E14">
        <f>D14*B14</f>
        <v>0</v>
      </c>
      <c r="F14" s="2" t="s">
        <v>176</v>
      </c>
      <c r="G14" s="8">
        <v>45281</v>
      </c>
      <c r="H14" s="2" t="s">
        <v>326</v>
      </c>
      <c r="I14">
        <v>0</v>
      </c>
      <c r="J14" t="b">
        <f>B14&lt;I14</f>
        <v>0</v>
      </c>
      <c r="K14" t="b">
        <f>B14=0</f>
        <v>1</v>
      </c>
      <c r="L14" s="3" t="s">
        <v>437</v>
      </c>
    </row>
    <row r="15" spans="1:12">
      <c r="A15" t="s">
        <v>167</v>
      </c>
      <c r="B15">
        <v>0</v>
      </c>
      <c r="C15" s="3" t="s">
        <v>348</v>
      </c>
      <c r="D15">
        <v>140</v>
      </c>
      <c r="E15">
        <f>D15*B15</f>
        <v>0</v>
      </c>
      <c r="F15" t="s">
        <v>176</v>
      </c>
      <c r="G15" s="1">
        <v>45280</v>
      </c>
      <c r="H15" t="s">
        <v>325</v>
      </c>
      <c r="I15">
        <v>1</v>
      </c>
      <c r="J15" t="b">
        <f>B15&lt;I15</f>
        <v>1</v>
      </c>
      <c r="K15" t="b">
        <f>B15=0</f>
        <v>1</v>
      </c>
      <c r="L15" s="3" t="s">
        <v>227</v>
      </c>
    </row>
    <row r="16" spans="1:12">
      <c r="A16" s="2" t="s">
        <v>214</v>
      </c>
      <c r="B16">
        <v>0</v>
      </c>
      <c r="C16" s="3" t="s">
        <v>393</v>
      </c>
      <c r="D16">
        <v>226</v>
      </c>
      <c r="E16">
        <f>D16*B16</f>
        <v>0</v>
      </c>
      <c r="F16" t="s">
        <v>177</v>
      </c>
      <c r="G16" s="1">
        <v>45196</v>
      </c>
      <c r="H16" t="s">
        <v>325</v>
      </c>
      <c r="I16">
        <v>1</v>
      </c>
      <c r="J16" t="b">
        <f>B16&lt;I16</f>
        <v>1</v>
      </c>
      <c r="K16" t="b">
        <f>B16=0</f>
        <v>1</v>
      </c>
      <c r="L16" s="3" t="s">
        <v>284</v>
      </c>
    </row>
    <row r="17" spans="1:12">
      <c r="A17" s="2" t="s">
        <v>211</v>
      </c>
      <c r="B17">
        <v>0</v>
      </c>
      <c r="C17" s="3" t="s">
        <v>400</v>
      </c>
      <c r="D17">
        <v>47.1</v>
      </c>
      <c r="E17">
        <f>D17*B17</f>
        <v>0</v>
      </c>
      <c r="F17" t="s">
        <v>176</v>
      </c>
      <c r="G17" s="1">
        <v>45196</v>
      </c>
      <c r="H17" t="s">
        <v>325</v>
      </c>
      <c r="I17">
        <v>1</v>
      </c>
      <c r="J17" t="b">
        <f>B17&lt;I17</f>
        <v>1</v>
      </c>
      <c r="K17" t="b">
        <f>B17=0</f>
        <v>1</v>
      </c>
      <c r="L17" s="3" t="s">
        <v>280</v>
      </c>
    </row>
    <row r="18" spans="1:12">
      <c r="A18" s="2" t="s">
        <v>444</v>
      </c>
      <c r="B18">
        <v>0</v>
      </c>
      <c r="C18" s="3" t="s">
        <v>522</v>
      </c>
      <c r="D18" s="6">
        <v>19</v>
      </c>
      <c r="E18">
        <f>D18*B18</f>
        <v>0</v>
      </c>
      <c r="F18" s="2" t="s">
        <v>176</v>
      </c>
      <c r="G18" s="8">
        <v>45274</v>
      </c>
      <c r="H18" s="2" t="s">
        <v>325</v>
      </c>
      <c r="I18">
        <v>1</v>
      </c>
      <c r="J18" t="b">
        <f>B18&lt;I18</f>
        <v>1</v>
      </c>
      <c r="K18" t="b">
        <f>B18=0</f>
        <v>1</v>
      </c>
      <c r="L18" s="3" t="s">
        <v>446</v>
      </c>
    </row>
    <row r="19" spans="1:12">
      <c r="A19" s="2" t="s">
        <v>813</v>
      </c>
      <c r="B19">
        <v>0</v>
      </c>
      <c r="C19" s="3" t="s">
        <v>526</v>
      </c>
      <c r="D19" s="6">
        <v>264.43</v>
      </c>
      <c r="E19">
        <f>D19*B19</f>
        <v>0</v>
      </c>
      <c r="F19" s="2" t="s">
        <v>182</v>
      </c>
      <c r="G19" s="1">
        <v>45196</v>
      </c>
      <c r="H19" t="s">
        <v>326</v>
      </c>
      <c r="I19" s="2">
        <v>0</v>
      </c>
      <c r="J19" t="b">
        <f>B19&lt;I19</f>
        <v>0</v>
      </c>
      <c r="K19" t="b">
        <f>B19=0</f>
        <v>1</v>
      </c>
      <c r="L19" s="4" t="s">
        <v>727</v>
      </c>
    </row>
    <row r="20" spans="1:12">
      <c r="A20" s="2" t="s">
        <v>207</v>
      </c>
      <c r="B20">
        <v>0</v>
      </c>
      <c r="C20" s="3" t="s">
        <v>374</v>
      </c>
      <c r="D20">
        <v>321</v>
      </c>
      <c r="E20">
        <f>D20*B20</f>
        <v>0</v>
      </c>
      <c r="F20" t="s">
        <v>177</v>
      </c>
      <c r="G20" s="1">
        <v>45300</v>
      </c>
      <c r="H20" t="s">
        <v>326</v>
      </c>
      <c r="I20">
        <v>1</v>
      </c>
      <c r="J20" t="b">
        <f>B20&lt;I20</f>
        <v>1</v>
      </c>
      <c r="K20" t="b">
        <f>B20=0</f>
        <v>1</v>
      </c>
      <c r="L20" s="3" t="s">
        <v>271</v>
      </c>
    </row>
    <row r="21" spans="1:12">
      <c r="A21" s="2" t="s">
        <v>171</v>
      </c>
      <c r="B21">
        <v>0</v>
      </c>
      <c r="C21" s="3" t="s">
        <v>376</v>
      </c>
      <c r="D21">
        <v>214.2</v>
      </c>
      <c r="E21">
        <f>D21*B21</f>
        <v>0</v>
      </c>
      <c r="F21" t="s">
        <v>177</v>
      </c>
      <c r="G21" s="1">
        <v>45196</v>
      </c>
      <c r="H21" t="s">
        <v>326</v>
      </c>
      <c r="I21">
        <v>1</v>
      </c>
      <c r="J21" t="b">
        <f>B21&lt;I21</f>
        <v>1</v>
      </c>
      <c r="K21" t="b">
        <f>B21=0</f>
        <v>1</v>
      </c>
      <c r="L21" s="3" t="s">
        <v>255</v>
      </c>
    </row>
    <row r="22" spans="1:12">
      <c r="A22" s="2" t="s">
        <v>191</v>
      </c>
      <c r="B22">
        <v>0</v>
      </c>
      <c r="C22" s="3" t="s">
        <v>392</v>
      </c>
      <c r="D22">
        <v>431</v>
      </c>
      <c r="E22">
        <f>D22*B22</f>
        <v>0</v>
      </c>
      <c r="F22" t="s">
        <v>177</v>
      </c>
      <c r="G22" s="1">
        <v>45196</v>
      </c>
      <c r="H22" t="s">
        <v>326</v>
      </c>
      <c r="I22">
        <v>1</v>
      </c>
      <c r="J22" t="b">
        <f>B22&lt;I22</f>
        <v>1</v>
      </c>
      <c r="K22" t="b">
        <f>B22=0</f>
        <v>1</v>
      </c>
      <c r="L22" s="3" t="s">
        <v>244</v>
      </c>
    </row>
    <row r="23" spans="1:12">
      <c r="A23" t="s">
        <v>912</v>
      </c>
      <c r="B23">
        <v>0</v>
      </c>
      <c r="C23" s="10">
        <v>5009896</v>
      </c>
      <c r="D23">
        <v>500</v>
      </c>
      <c r="E23">
        <f>D23*B23</f>
        <v>0</v>
      </c>
      <c r="F23" t="s">
        <v>187</v>
      </c>
      <c r="G23" s="1">
        <v>45565</v>
      </c>
      <c r="H23" t="s">
        <v>325</v>
      </c>
      <c r="I23">
        <v>0</v>
      </c>
      <c r="J23" t="b">
        <f>B23&lt;I23</f>
        <v>0</v>
      </c>
      <c r="K23" t="b">
        <f>B23=0</f>
        <v>1</v>
      </c>
      <c r="L23" t="s">
        <v>915</v>
      </c>
    </row>
    <row r="24" spans="1:12">
      <c r="A24" t="s">
        <v>916</v>
      </c>
      <c r="B24">
        <v>0</v>
      </c>
      <c r="C24" s="10">
        <v>5009895</v>
      </c>
      <c r="D24">
        <v>252.75</v>
      </c>
      <c r="E24">
        <f>D24*B24</f>
        <v>0</v>
      </c>
      <c r="F24" t="s">
        <v>187</v>
      </c>
      <c r="G24" s="1">
        <v>45565</v>
      </c>
      <c r="H24" t="s">
        <v>325</v>
      </c>
      <c r="I24">
        <v>0</v>
      </c>
      <c r="J24" t="b">
        <f>B24&lt;I24</f>
        <v>0</v>
      </c>
      <c r="K24" t="b">
        <f>B24=0</f>
        <v>1</v>
      </c>
      <c r="L24" t="s">
        <v>919</v>
      </c>
    </row>
    <row r="25" spans="1:12">
      <c r="A25" s="2" t="s">
        <v>152</v>
      </c>
      <c r="B25">
        <v>0</v>
      </c>
      <c r="C25" s="3" t="s">
        <v>367</v>
      </c>
      <c r="D25">
        <v>166.18</v>
      </c>
      <c r="E25">
        <f>D25*B25</f>
        <v>0</v>
      </c>
      <c r="F25" t="s">
        <v>179</v>
      </c>
      <c r="G25" s="1">
        <v>45587</v>
      </c>
      <c r="H25" t="s">
        <v>325</v>
      </c>
      <c r="I25">
        <v>1</v>
      </c>
      <c r="J25" t="b">
        <f>B25&lt;I25</f>
        <v>1</v>
      </c>
      <c r="K25" t="b">
        <f>B25=0</f>
        <v>1</v>
      </c>
      <c r="L25" s="3" t="s">
        <v>274</v>
      </c>
    </row>
    <row r="26" spans="1:12">
      <c r="A26" s="2" t="s">
        <v>157</v>
      </c>
      <c r="B26">
        <v>0</v>
      </c>
      <c r="C26" s="3" t="s">
        <v>395</v>
      </c>
      <c r="D26">
        <v>92.7</v>
      </c>
      <c r="E26">
        <f>D26*B26</f>
        <v>0</v>
      </c>
      <c r="F26" t="s">
        <v>184</v>
      </c>
      <c r="G26" s="1">
        <v>45666</v>
      </c>
      <c r="H26" t="s">
        <v>325</v>
      </c>
      <c r="I26">
        <v>1</v>
      </c>
      <c r="J26" t="b">
        <f>B26&lt;I26</f>
        <v>1</v>
      </c>
      <c r="K26" t="b">
        <f>B26=0</f>
        <v>1</v>
      </c>
      <c r="L26" s="3" t="s">
        <v>297</v>
      </c>
    </row>
    <row r="27" spans="1:12">
      <c r="A27" s="2" t="s">
        <v>792</v>
      </c>
      <c r="B27">
        <v>0</v>
      </c>
      <c r="C27" s="3" t="s">
        <v>388</v>
      </c>
      <c r="D27">
        <v>106.41</v>
      </c>
      <c r="E27">
        <f>D27*B27</f>
        <v>0</v>
      </c>
      <c r="F27" t="s">
        <v>178</v>
      </c>
      <c r="G27" s="1">
        <v>44950</v>
      </c>
      <c r="H27" t="s">
        <v>325</v>
      </c>
      <c r="I27">
        <v>1</v>
      </c>
      <c r="J27" t="b">
        <f>B27&lt;I27</f>
        <v>1</v>
      </c>
      <c r="K27" t="b">
        <f>B27=0</f>
        <v>1</v>
      </c>
      <c r="L27" s="3" t="s">
        <v>273</v>
      </c>
    </row>
    <row r="28" spans="1:12">
      <c r="A28" t="s">
        <v>117</v>
      </c>
      <c r="B28">
        <v>0</v>
      </c>
      <c r="C28" s="3" t="s">
        <v>408</v>
      </c>
      <c r="D28">
        <v>144</v>
      </c>
      <c r="E28">
        <f>D28*B28</f>
        <v>0</v>
      </c>
      <c r="F28" t="s">
        <v>176</v>
      </c>
      <c r="G28" s="1">
        <v>45826</v>
      </c>
      <c r="H28" t="s">
        <v>325</v>
      </c>
      <c r="I28">
        <v>1</v>
      </c>
      <c r="J28" t="b">
        <f>B28&lt;I28</f>
        <v>1</v>
      </c>
      <c r="K28" t="b">
        <f>B28=0</f>
        <v>1</v>
      </c>
      <c r="L28" s="3" t="s">
        <v>224</v>
      </c>
    </row>
    <row r="29" spans="1:12">
      <c r="A29" t="s">
        <v>896</v>
      </c>
      <c r="B29">
        <v>0</v>
      </c>
      <c r="C29" s="10">
        <v>5009119</v>
      </c>
      <c r="D29">
        <v>211.18</v>
      </c>
      <c r="E29">
        <f>D29*B29</f>
        <v>0</v>
      </c>
      <c r="F29" t="s">
        <v>178</v>
      </c>
      <c r="G29" s="1">
        <v>45859</v>
      </c>
      <c r="H29" t="s">
        <v>325</v>
      </c>
      <c r="I29">
        <v>1</v>
      </c>
      <c r="J29" t="b">
        <f>B29&lt;I29</f>
        <v>1</v>
      </c>
      <c r="K29" t="b">
        <f>B29=0</f>
        <v>1</v>
      </c>
      <c r="L29">
        <v>60050009</v>
      </c>
    </row>
    <row r="30" spans="1:12">
      <c r="A30" s="2" t="s">
        <v>801</v>
      </c>
      <c r="B30">
        <v>0</v>
      </c>
      <c r="C30" s="3" t="s">
        <v>412</v>
      </c>
      <c r="D30">
        <v>124.25</v>
      </c>
      <c r="E30">
        <f>D30*B30</f>
        <v>0</v>
      </c>
      <c r="F30" t="s">
        <v>184</v>
      </c>
      <c r="G30" s="1">
        <v>45960</v>
      </c>
      <c r="H30" t="s">
        <v>325</v>
      </c>
      <c r="I30">
        <v>1</v>
      </c>
      <c r="J30" t="b">
        <f>B30&lt;I30</f>
        <v>1</v>
      </c>
      <c r="K30" t="b">
        <f>B30=0</f>
        <v>1</v>
      </c>
      <c r="L30" s="3" t="s">
        <v>509</v>
      </c>
    </row>
    <row r="31" spans="1:12">
      <c r="A31" s="2" t="s">
        <v>424</v>
      </c>
      <c r="B31">
        <v>0</v>
      </c>
      <c r="C31" s="9" t="s">
        <v>528</v>
      </c>
      <c r="D31">
        <v>560.78</v>
      </c>
      <c r="E31">
        <v>0</v>
      </c>
      <c r="F31" t="s">
        <v>186</v>
      </c>
      <c r="G31" s="1">
        <v>46042</v>
      </c>
      <c r="H31" t="s">
        <v>325</v>
      </c>
      <c r="I31">
        <v>1</v>
      </c>
      <c r="J31" t="b">
        <f>B31&lt;I31</f>
        <v>1</v>
      </c>
      <c r="K31" t="b">
        <f>B31=0</f>
        <v>1</v>
      </c>
      <c r="L31" s="9" t="s">
        <v>515</v>
      </c>
    </row>
    <row r="32" spans="1:12">
      <c r="A32" s="2" t="s">
        <v>53</v>
      </c>
      <c r="B32">
        <v>1</v>
      </c>
      <c r="C32" s="3" t="s">
        <v>345</v>
      </c>
      <c r="D32">
        <v>24.75</v>
      </c>
      <c r="E32">
        <f>D32*B32</f>
        <v>24.75</v>
      </c>
      <c r="F32" t="s">
        <v>177</v>
      </c>
      <c r="G32" s="1">
        <v>46072</v>
      </c>
      <c r="H32" t="s">
        <v>325</v>
      </c>
      <c r="I32">
        <v>1</v>
      </c>
      <c r="J32" t="b">
        <f>B32&lt;I32</f>
        <v>0</v>
      </c>
      <c r="K32" t="b">
        <f>B32=0</f>
        <v>0</v>
      </c>
      <c r="L32" s="3" t="s">
        <v>248</v>
      </c>
    </row>
    <row r="33" spans="1:12">
      <c r="A33" t="s">
        <v>791</v>
      </c>
      <c r="B33">
        <v>1</v>
      </c>
      <c r="C33" s="3" t="s">
        <v>350</v>
      </c>
      <c r="D33">
        <v>413.32</v>
      </c>
      <c r="E33">
        <f>D33*B33</f>
        <v>413.32</v>
      </c>
      <c r="F33" t="s">
        <v>182</v>
      </c>
      <c r="G33" s="1">
        <v>46072</v>
      </c>
      <c r="H33" t="s">
        <v>325</v>
      </c>
      <c r="I33">
        <v>1</v>
      </c>
      <c r="J33" t="b">
        <f>B33&lt;I33</f>
        <v>0</v>
      </c>
      <c r="K33" t="b">
        <f>B33=0</f>
        <v>0</v>
      </c>
      <c r="L33" s="3" t="s">
        <v>238</v>
      </c>
    </row>
    <row r="34" spans="1:12">
      <c r="A34" s="2" t="s">
        <v>221</v>
      </c>
      <c r="B34">
        <v>1</v>
      </c>
      <c r="C34" s="3" t="s">
        <v>361</v>
      </c>
      <c r="D34">
        <v>390</v>
      </c>
      <c r="E34">
        <f>D34*B34</f>
        <v>390</v>
      </c>
      <c r="F34" t="s">
        <v>179</v>
      </c>
      <c r="G34" s="1">
        <v>46055</v>
      </c>
      <c r="H34" t="s">
        <v>325</v>
      </c>
      <c r="I34">
        <v>1</v>
      </c>
      <c r="J34" t="b">
        <f>B34&lt;I34</f>
        <v>0</v>
      </c>
      <c r="K34" t="b">
        <f>B34=0</f>
        <v>0</v>
      </c>
      <c r="L34" s="3" t="s">
        <v>300</v>
      </c>
    </row>
    <row r="35" spans="1:12">
      <c r="A35" s="2" t="s">
        <v>219</v>
      </c>
      <c r="B35">
        <v>1</v>
      </c>
      <c r="C35" s="3" t="s">
        <v>357</v>
      </c>
      <c r="D35">
        <v>304.5</v>
      </c>
      <c r="E35">
        <f>D35*B35</f>
        <v>304.5</v>
      </c>
      <c r="F35" t="s">
        <v>177</v>
      </c>
      <c r="G35" s="1">
        <v>46031</v>
      </c>
      <c r="H35" t="s">
        <v>325</v>
      </c>
      <c r="I35">
        <v>1</v>
      </c>
      <c r="J35" t="b">
        <f>B35&lt;I35</f>
        <v>0</v>
      </c>
      <c r="K35" t="b">
        <f>B35=0</f>
        <v>0</v>
      </c>
      <c r="L35" s="3" t="s">
        <v>290</v>
      </c>
    </row>
    <row r="36" spans="1:12">
      <c r="A36" s="2" t="s">
        <v>313</v>
      </c>
      <c r="B36">
        <v>1</v>
      </c>
      <c r="C36" s="3" t="s">
        <v>354</v>
      </c>
      <c r="D36">
        <v>27.2</v>
      </c>
      <c r="E36">
        <f>D36*B36</f>
        <v>27.2</v>
      </c>
      <c r="F36" t="s">
        <v>187</v>
      </c>
      <c r="G36" s="1">
        <v>46043</v>
      </c>
      <c r="H36" t="s">
        <v>325</v>
      </c>
      <c r="I36">
        <v>1</v>
      </c>
      <c r="J36" t="b">
        <f>B36&lt;I36</f>
        <v>0</v>
      </c>
      <c r="K36" t="b">
        <f>B36=0</f>
        <v>0</v>
      </c>
      <c r="L36" s="3" t="s">
        <v>301</v>
      </c>
    </row>
    <row r="37" spans="1:12">
      <c r="A37" t="s">
        <v>882</v>
      </c>
      <c r="B37">
        <v>1</v>
      </c>
      <c r="C37" s="10">
        <v>6010114</v>
      </c>
      <c r="D37">
        <v>58.92</v>
      </c>
      <c r="E37">
        <f>D37*B37</f>
        <v>58.92</v>
      </c>
      <c r="F37" t="s">
        <v>178</v>
      </c>
      <c r="G37" s="1">
        <v>46034</v>
      </c>
      <c r="H37" t="s">
        <v>325</v>
      </c>
      <c r="I37">
        <v>0</v>
      </c>
      <c r="J37" t="b">
        <f>B37&lt;I37</f>
        <v>0</v>
      </c>
      <c r="K37" t="b">
        <f>B37=0</f>
        <v>0</v>
      </c>
      <c r="L37" t="s">
        <v>121</v>
      </c>
    </row>
    <row r="38" spans="1:12">
      <c r="A38" s="2" t="s">
        <v>154</v>
      </c>
      <c r="B38">
        <v>1</v>
      </c>
      <c r="C38" s="3" t="s">
        <v>391</v>
      </c>
      <c r="D38">
        <v>153</v>
      </c>
      <c r="E38">
        <f>D38*B38</f>
        <v>153</v>
      </c>
      <c r="F38" t="s">
        <v>186</v>
      </c>
      <c r="G38" s="1">
        <v>46006</v>
      </c>
      <c r="H38" t="s">
        <v>325</v>
      </c>
      <c r="I38">
        <v>1</v>
      </c>
      <c r="J38" t="b">
        <f>B38&lt;I38</f>
        <v>0</v>
      </c>
      <c r="K38" t="b">
        <f>B38=0</f>
        <v>0</v>
      </c>
      <c r="L38" s="3" t="s">
        <v>281</v>
      </c>
    </row>
    <row r="39" spans="1:12">
      <c r="A39" s="2" t="s">
        <v>854</v>
      </c>
      <c r="B39">
        <v>1</v>
      </c>
      <c r="E39">
        <f>D39*B39</f>
        <v>0</v>
      </c>
      <c r="F39" t="s">
        <v>182</v>
      </c>
      <c r="G39" s="1">
        <v>45981</v>
      </c>
      <c r="H39" t="s">
        <v>325</v>
      </c>
      <c r="I39">
        <v>0</v>
      </c>
      <c r="J39" t="b">
        <f>B39&lt;I39</f>
        <v>0</v>
      </c>
      <c r="K39" t="b">
        <f>B39=0</f>
        <v>0</v>
      </c>
    </row>
    <row r="40" spans="1:12">
      <c r="A40" s="2" t="s">
        <v>149</v>
      </c>
      <c r="B40">
        <v>1</v>
      </c>
      <c r="C40" s="3" t="s">
        <v>396</v>
      </c>
      <c r="D40">
        <v>111.4</v>
      </c>
      <c r="E40">
        <f>D40*B40</f>
        <v>111.4</v>
      </c>
      <c r="F40" t="s">
        <v>184</v>
      </c>
      <c r="G40" s="1">
        <v>45981</v>
      </c>
      <c r="H40" t="s">
        <v>325</v>
      </c>
      <c r="I40">
        <v>1</v>
      </c>
      <c r="J40" t="b">
        <f>B40&lt;I40</f>
        <v>0</v>
      </c>
      <c r="K40" t="b">
        <f>B40=0</f>
        <v>0</v>
      </c>
      <c r="L40" s="3" t="s">
        <v>264</v>
      </c>
    </row>
    <row r="41" spans="1:12">
      <c r="A41" s="2" t="s">
        <v>205</v>
      </c>
      <c r="B41">
        <v>1</v>
      </c>
      <c r="C41" s="3" t="s">
        <v>401</v>
      </c>
      <c r="D41">
        <v>697.62</v>
      </c>
      <c r="E41">
        <f>D41*B41</f>
        <v>697.62</v>
      </c>
      <c r="F41" t="s">
        <v>184</v>
      </c>
      <c r="G41" s="1">
        <v>45938</v>
      </c>
      <c r="H41" t="s">
        <v>325</v>
      </c>
      <c r="I41">
        <v>1</v>
      </c>
      <c r="J41" t="b">
        <f>B41&lt;I41</f>
        <v>0</v>
      </c>
      <c r="K41" t="b">
        <f>B41=0</f>
        <v>0</v>
      </c>
      <c r="L41" s="3" t="s">
        <v>516</v>
      </c>
    </row>
    <row r="42" spans="1:12">
      <c r="A42" s="2" t="s">
        <v>304</v>
      </c>
      <c r="B42">
        <v>1</v>
      </c>
      <c r="C42" s="3" t="s">
        <v>371</v>
      </c>
      <c r="D42">
        <v>354</v>
      </c>
      <c r="E42">
        <f>D42*B42</f>
        <v>354</v>
      </c>
      <c r="F42" t="s">
        <v>177</v>
      </c>
      <c r="G42" s="1">
        <v>45909</v>
      </c>
      <c r="H42" t="s">
        <v>325</v>
      </c>
      <c r="I42">
        <v>1</v>
      </c>
      <c r="J42" t="b">
        <f>B42&lt;I42</f>
        <v>0</v>
      </c>
      <c r="K42" t="b">
        <f>B42=0</f>
        <v>0</v>
      </c>
      <c r="L42" s="3" t="s">
        <v>272</v>
      </c>
    </row>
    <row r="43" spans="1:12">
      <c r="A43" s="2" t="s">
        <v>200</v>
      </c>
      <c r="B43">
        <v>1</v>
      </c>
      <c r="C43" s="3" t="s">
        <v>413</v>
      </c>
      <c r="D43">
        <v>75</v>
      </c>
      <c r="E43">
        <f>D43*B43</f>
        <v>75</v>
      </c>
      <c r="F43" t="s">
        <v>185</v>
      </c>
      <c r="G43" s="1">
        <v>45870</v>
      </c>
      <c r="H43" t="s">
        <v>326</v>
      </c>
      <c r="I43">
        <v>0</v>
      </c>
      <c r="J43" t="b">
        <f>B43&lt;I43</f>
        <v>0</v>
      </c>
      <c r="K43" t="b">
        <f>B43=0</f>
        <v>0</v>
      </c>
      <c r="L43" s="3" t="s">
        <v>258</v>
      </c>
    </row>
    <row r="44" spans="1:12">
      <c r="A44" s="2" t="s">
        <v>197</v>
      </c>
      <c r="B44">
        <v>1</v>
      </c>
      <c r="C44" s="3" t="s">
        <v>369</v>
      </c>
      <c r="D44">
        <v>180</v>
      </c>
      <c r="E44">
        <f>D44*B44</f>
        <v>180</v>
      </c>
      <c r="F44" t="s">
        <v>178</v>
      </c>
      <c r="G44" s="1">
        <v>45859</v>
      </c>
      <c r="H44" t="s">
        <v>325</v>
      </c>
      <c r="I44">
        <v>1</v>
      </c>
      <c r="J44" t="b">
        <f>B44&lt;I44</f>
        <v>0</v>
      </c>
      <c r="K44" t="b">
        <f>B44=0</f>
        <v>0</v>
      </c>
      <c r="L44" s="3" t="s">
        <v>253</v>
      </c>
    </row>
    <row r="45" spans="1:12">
      <c r="A45" t="s">
        <v>944</v>
      </c>
      <c r="B45">
        <v>1</v>
      </c>
      <c r="C45" s="10">
        <v>5003394</v>
      </c>
      <c r="D45">
        <v>552</v>
      </c>
      <c r="E45">
        <f>D45*B45</f>
        <v>552</v>
      </c>
      <c r="F45" t="s">
        <v>177</v>
      </c>
      <c r="G45" s="1">
        <v>45811</v>
      </c>
      <c r="H45" t="s">
        <v>325</v>
      </c>
      <c r="I45">
        <v>0</v>
      </c>
      <c r="J45" t="b">
        <f>B45&lt;I45</f>
        <v>0</v>
      </c>
      <c r="K45" t="b">
        <f>B45=0</f>
        <v>0</v>
      </c>
      <c r="L45" t="s">
        <v>940</v>
      </c>
    </row>
    <row r="46" spans="1:12">
      <c r="A46" s="2" t="s">
        <v>303</v>
      </c>
      <c r="B46">
        <v>1</v>
      </c>
      <c r="C46" s="3" t="s">
        <v>373</v>
      </c>
      <c r="D46">
        <v>952</v>
      </c>
      <c r="E46">
        <f>D46*B46</f>
        <v>952</v>
      </c>
      <c r="F46" t="s">
        <v>177</v>
      </c>
      <c r="G46" s="1">
        <v>45762</v>
      </c>
      <c r="H46" t="s">
        <v>325</v>
      </c>
      <c r="I46">
        <v>1</v>
      </c>
      <c r="J46" t="b">
        <f>B46&lt;I46</f>
        <v>0</v>
      </c>
      <c r="K46" t="b">
        <f>B46=0</f>
        <v>0</v>
      </c>
      <c r="L46" s="3" t="s">
        <v>296</v>
      </c>
    </row>
    <row r="47" spans="1:12">
      <c r="A47" t="s">
        <v>984</v>
      </c>
      <c r="B47">
        <v>1</v>
      </c>
      <c r="C47" s="10">
        <v>6031525</v>
      </c>
      <c r="D47">
        <v>204.29</v>
      </c>
      <c r="E47">
        <f>D47*B47</f>
        <v>204.29</v>
      </c>
      <c r="F47" t="s">
        <v>182</v>
      </c>
      <c r="G47" s="1">
        <v>45645</v>
      </c>
      <c r="H47" t="s">
        <v>325</v>
      </c>
      <c r="I47">
        <v>0</v>
      </c>
      <c r="J47" t="b">
        <f>B47&lt;I47</f>
        <v>0</v>
      </c>
      <c r="K47" t="b">
        <f>B47=0</f>
        <v>0</v>
      </c>
      <c r="L47" t="s">
        <v>987</v>
      </c>
    </row>
    <row r="48" spans="1:12">
      <c r="A48" s="2" t="s">
        <v>217</v>
      </c>
      <c r="B48">
        <v>1</v>
      </c>
      <c r="C48" s="3" t="s">
        <v>348</v>
      </c>
      <c r="D48">
        <v>25</v>
      </c>
      <c r="E48">
        <f>D48*B48</f>
        <v>25</v>
      </c>
      <c r="F48" t="s">
        <v>176</v>
      </c>
      <c r="G48" s="1">
        <v>45600</v>
      </c>
      <c r="H48" t="s">
        <v>325</v>
      </c>
      <c r="I48">
        <v>1</v>
      </c>
      <c r="J48" t="b">
        <f>B48&lt;I48</f>
        <v>0</v>
      </c>
      <c r="K48" t="b">
        <f>B48=0</f>
        <v>0</v>
      </c>
      <c r="L48" s="3" t="s">
        <v>288</v>
      </c>
    </row>
    <row r="49" spans="1:12">
      <c r="A49" t="s">
        <v>900</v>
      </c>
      <c r="B49">
        <v>1</v>
      </c>
      <c r="C49" s="10">
        <v>5009892</v>
      </c>
      <c r="D49">
        <v>81</v>
      </c>
      <c r="E49">
        <f>D49*B49</f>
        <v>81</v>
      </c>
      <c r="F49" t="s">
        <v>187</v>
      </c>
      <c r="G49" s="1">
        <v>45489</v>
      </c>
      <c r="H49" t="s">
        <v>325</v>
      </c>
      <c r="I49">
        <v>0</v>
      </c>
      <c r="J49" t="b">
        <f>B49&lt;I49</f>
        <v>0</v>
      </c>
      <c r="K49" t="b">
        <f>B49=0</f>
        <v>0</v>
      </c>
      <c r="L49" t="s">
        <v>903</v>
      </c>
    </row>
    <row r="50" spans="1:12">
      <c r="A50" t="s">
        <v>904</v>
      </c>
      <c r="B50">
        <v>1</v>
      </c>
      <c r="C50" s="10">
        <v>5009894</v>
      </c>
      <c r="D50">
        <v>167.25</v>
      </c>
      <c r="E50">
        <f>D50*B50</f>
        <v>167.25</v>
      </c>
      <c r="F50" t="s">
        <v>187</v>
      </c>
      <c r="G50" s="1">
        <v>45489</v>
      </c>
      <c r="H50" t="s">
        <v>325</v>
      </c>
      <c r="I50">
        <v>0</v>
      </c>
      <c r="J50" t="b">
        <f>B50&lt;I50</f>
        <v>0</v>
      </c>
      <c r="K50" t="b">
        <f>B50=0</f>
        <v>0</v>
      </c>
      <c r="L50" t="s">
        <v>907</v>
      </c>
    </row>
    <row r="51" spans="1:12">
      <c r="A51" t="s">
        <v>908</v>
      </c>
      <c r="B51">
        <v>1</v>
      </c>
      <c r="C51" s="10">
        <v>5009893</v>
      </c>
      <c r="D51">
        <v>267</v>
      </c>
      <c r="E51">
        <f>D51*B51</f>
        <v>267</v>
      </c>
      <c r="F51" t="s">
        <v>187</v>
      </c>
      <c r="G51" s="1">
        <v>45489</v>
      </c>
      <c r="H51" t="s">
        <v>325</v>
      </c>
      <c r="I51">
        <v>0</v>
      </c>
      <c r="J51" t="b">
        <f>B51&lt;I51</f>
        <v>0</v>
      </c>
      <c r="K51" t="b">
        <f>B51=0</f>
        <v>0</v>
      </c>
      <c r="L51" t="s">
        <v>911</v>
      </c>
    </row>
    <row r="52" spans="1:12">
      <c r="A52" t="s">
        <v>920</v>
      </c>
      <c r="B52">
        <v>1</v>
      </c>
      <c r="C52" s="10">
        <v>5009898</v>
      </c>
      <c r="D52">
        <v>647.25</v>
      </c>
      <c r="E52">
        <f>D52*B52</f>
        <v>647.25</v>
      </c>
      <c r="F52" t="s">
        <v>187</v>
      </c>
      <c r="G52" s="1">
        <v>45489</v>
      </c>
      <c r="H52" t="s">
        <v>325</v>
      </c>
      <c r="I52">
        <v>0</v>
      </c>
      <c r="J52" t="b">
        <f>B52&lt;I52</f>
        <v>0</v>
      </c>
      <c r="K52" t="b">
        <f>B52=0</f>
        <v>0</v>
      </c>
      <c r="L52" t="s">
        <v>923</v>
      </c>
    </row>
    <row r="53" spans="1:12">
      <c r="A53" s="2" t="s">
        <v>150</v>
      </c>
      <c r="B53">
        <v>1</v>
      </c>
      <c r="C53" s="3" t="s">
        <v>344</v>
      </c>
      <c r="D53">
        <v>120</v>
      </c>
      <c r="E53">
        <f>D53*B53</f>
        <v>120</v>
      </c>
      <c r="F53" t="s">
        <v>182</v>
      </c>
      <c r="G53" s="1">
        <v>45196</v>
      </c>
      <c r="H53" t="s">
        <v>325</v>
      </c>
      <c r="I53">
        <v>1</v>
      </c>
      <c r="J53" t="b">
        <f>B53&lt;I53</f>
        <v>0</v>
      </c>
      <c r="K53" t="b">
        <f>B53=0</f>
        <v>0</v>
      </c>
      <c r="L53" s="3" t="s">
        <v>266</v>
      </c>
    </row>
    <row r="54" spans="1:12">
      <c r="A54" t="s">
        <v>172</v>
      </c>
      <c r="B54">
        <v>1</v>
      </c>
      <c r="C54" s="3" t="s">
        <v>410</v>
      </c>
      <c r="D54">
        <v>141</v>
      </c>
      <c r="E54">
        <f>D54*B54</f>
        <v>141</v>
      </c>
      <c r="F54" t="s">
        <v>181</v>
      </c>
      <c r="G54" s="1">
        <v>45196</v>
      </c>
      <c r="H54" t="s">
        <v>325</v>
      </c>
      <c r="I54">
        <v>1</v>
      </c>
      <c r="J54" t="b">
        <f>B54&lt;I54</f>
        <v>0</v>
      </c>
      <c r="K54" t="b">
        <f>B54=0</f>
        <v>0</v>
      </c>
      <c r="L54" s="3" t="s">
        <v>233</v>
      </c>
    </row>
    <row r="55" spans="1:12">
      <c r="A55" s="2" t="s">
        <v>151</v>
      </c>
      <c r="B55">
        <v>1</v>
      </c>
      <c r="C55" s="3" t="s">
        <v>420</v>
      </c>
      <c r="D55">
        <v>232.26</v>
      </c>
      <c r="E55">
        <f>D55*B55</f>
        <v>232.26</v>
      </c>
      <c r="F55" t="s">
        <v>176</v>
      </c>
      <c r="G55" s="1">
        <v>45281</v>
      </c>
      <c r="H55" t="s">
        <v>325</v>
      </c>
      <c r="I55">
        <v>0</v>
      </c>
      <c r="J55" t="b">
        <f>B55&lt;I55</f>
        <v>0</v>
      </c>
      <c r="K55" t="b">
        <f>B55=0</f>
        <v>0</v>
      </c>
      <c r="L55" s="3" t="s">
        <v>267</v>
      </c>
    </row>
    <row r="56" spans="1:12">
      <c r="A56" t="s">
        <v>169</v>
      </c>
      <c r="B56">
        <v>1</v>
      </c>
      <c r="C56" s="3" t="s">
        <v>348</v>
      </c>
      <c r="D56">
        <v>21</v>
      </c>
      <c r="E56">
        <f>D56*B56</f>
        <v>21</v>
      </c>
      <c r="F56" t="s">
        <v>176</v>
      </c>
      <c r="G56" s="1">
        <v>45196</v>
      </c>
      <c r="H56" t="s">
        <v>326</v>
      </c>
      <c r="I56">
        <v>0</v>
      </c>
      <c r="J56" t="b">
        <f>B56&lt;I56</f>
        <v>0</v>
      </c>
      <c r="K56" t="b">
        <f>B56=0</f>
        <v>0</v>
      </c>
      <c r="L56" s="3" t="s">
        <v>228</v>
      </c>
    </row>
    <row r="57" spans="1:12">
      <c r="A57" s="2" t="s">
        <v>808</v>
      </c>
      <c r="B57">
        <v>1</v>
      </c>
      <c r="C57" s="3" t="s">
        <v>523</v>
      </c>
      <c r="D57" s="6">
        <v>38.11</v>
      </c>
      <c r="E57">
        <f>D57*B57</f>
        <v>38.11</v>
      </c>
      <c r="F57" t="s">
        <v>180</v>
      </c>
      <c r="G57" s="1">
        <v>45196</v>
      </c>
      <c r="H57" s="2" t="s">
        <v>325</v>
      </c>
      <c r="I57">
        <v>1</v>
      </c>
      <c r="J57" t="b">
        <f>B57&lt;I57</f>
        <v>0</v>
      </c>
      <c r="K57" t="b">
        <f>B57=0</f>
        <v>0</v>
      </c>
      <c r="L57" s="3" t="s">
        <v>436</v>
      </c>
    </row>
    <row r="58" spans="1:12">
      <c r="A58" s="2" t="s">
        <v>202</v>
      </c>
      <c r="B58">
        <v>1</v>
      </c>
      <c r="C58" s="3" t="s">
        <v>365</v>
      </c>
      <c r="D58">
        <v>180</v>
      </c>
      <c r="E58">
        <f>D58*B58</f>
        <v>180</v>
      </c>
      <c r="F58" t="s">
        <v>177</v>
      </c>
      <c r="G58" s="1">
        <v>45196</v>
      </c>
      <c r="H58" t="s">
        <v>326</v>
      </c>
      <c r="I58">
        <v>0</v>
      </c>
      <c r="J58" t="b">
        <f>B58&lt;I58</f>
        <v>0</v>
      </c>
      <c r="K58" t="b">
        <f>B58=0</f>
        <v>0</v>
      </c>
      <c r="L58" s="3" t="s">
        <v>262</v>
      </c>
    </row>
    <row r="59" spans="1:12" ht="28.5">
      <c r="A59" s="2" t="s">
        <v>811</v>
      </c>
      <c r="B59">
        <v>1</v>
      </c>
      <c r="C59" s="3" t="s">
        <v>524</v>
      </c>
      <c r="D59" s="6">
        <v>38.11</v>
      </c>
      <c r="E59">
        <f>D59*B59</f>
        <v>38.11</v>
      </c>
      <c r="F59" s="2" t="s">
        <v>177</v>
      </c>
      <c r="G59" s="1">
        <v>45196</v>
      </c>
      <c r="H59" s="2" t="s">
        <v>325</v>
      </c>
      <c r="I59">
        <v>0</v>
      </c>
      <c r="J59" t="b">
        <f>B59&lt;I59</f>
        <v>0</v>
      </c>
      <c r="K59" t="b">
        <f>B59=0</f>
        <v>0</v>
      </c>
      <c r="L59" s="3" t="s">
        <v>434</v>
      </c>
    </row>
    <row r="60" spans="1:12">
      <c r="A60" s="2" t="s">
        <v>816</v>
      </c>
      <c r="B60">
        <v>1</v>
      </c>
      <c r="C60" s="3" t="s">
        <v>527</v>
      </c>
      <c r="D60" s="6">
        <v>409.5</v>
      </c>
      <c r="E60">
        <f>D60*B60</f>
        <v>409.5</v>
      </c>
      <c r="F60" s="2" t="s">
        <v>177</v>
      </c>
      <c r="G60" s="1">
        <v>45196</v>
      </c>
      <c r="H60" s="2" t="s">
        <v>326</v>
      </c>
      <c r="I60">
        <v>0</v>
      </c>
      <c r="J60" t="b">
        <f>B60&lt;I60</f>
        <v>0</v>
      </c>
      <c r="K60" t="b">
        <f>B60=0</f>
        <v>0</v>
      </c>
      <c r="L60" s="3" t="s">
        <v>432</v>
      </c>
    </row>
    <row r="61" spans="1:12">
      <c r="A61" s="2" t="s">
        <v>795</v>
      </c>
      <c r="B61">
        <v>1</v>
      </c>
      <c r="C61" s="3" t="s">
        <v>346</v>
      </c>
      <c r="D61">
        <v>776.9</v>
      </c>
      <c r="E61">
        <f>D61*B61</f>
        <v>776.9</v>
      </c>
      <c r="F61" t="s">
        <v>182</v>
      </c>
      <c r="G61" s="1">
        <v>45964</v>
      </c>
      <c r="H61" t="s">
        <v>325</v>
      </c>
      <c r="I61">
        <v>1</v>
      </c>
      <c r="J61" t="b">
        <f>B61&lt;I61</f>
        <v>0</v>
      </c>
      <c r="K61" t="b">
        <f>B61=0</f>
        <v>0</v>
      </c>
      <c r="L61" s="3" t="s">
        <v>518</v>
      </c>
    </row>
    <row r="62" spans="1:12">
      <c r="A62" t="s">
        <v>790</v>
      </c>
      <c r="B62">
        <v>1</v>
      </c>
      <c r="C62" s="3">
        <v>4430911</v>
      </c>
      <c r="D62">
        <v>391</v>
      </c>
      <c r="E62">
        <f>D62*B62</f>
        <v>391</v>
      </c>
      <c r="F62" t="s">
        <v>179</v>
      </c>
      <c r="G62" s="1">
        <v>46045</v>
      </c>
      <c r="H62" t="s">
        <v>325</v>
      </c>
      <c r="I62">
        <v>1</v>
      </c>
      <c r="J62" t="b">
        <f>B62&lt;I62</f>
        <v>0</v>
      </c>
      <c r="K62" t="b">
        <f>B62=0</f>
        <v>0</v>
      </c>
      <c r="L62" t="s">
        <v>788</v>
      </c>
    </row>
    <row r="63" spans="1:12">
      <c r="A63" t="s">
        <v>1064</v>
      </c>
      <c r="B63">
        <v>1</v>
      </c>
      <c r="C63" s="26">
        <v>5007715</v>
      </c>
      <c r="D63">
        <v>731.47</v>
      </c>
      <c r="E63">
        <f>D63*B63</f>
        <v>731.47</v>
      </c>
      <c r="F63" t="s">
        <v>177</v>
      </c>
      <c r="G63" s="1">
        <v>46072</v>
      </c>
      <c r="H63" t="s">
        <v>325</v>
      </c>
      <c r="I63">
        <v>1</v>
      </c>
      <c r="J63" t="b">
        <f>B63&lt;I63</f>
        <v>0</v>
      </c>
      <c r="K63" t="b">
        <f>B63=0</f>
        <v>0</v>
      </c>
      <c r="L63" s="3" t="s">
        <v>1072</v>
      </c>
    </row>
    <row r="64" spans="1:12">
      <c r="A64" t="s">
        <v>314</v>
      </c>
      <c r="B64">
        <v>2</v>
      </c>
      <c r="C64" s="3" t="s">
        <v>343</v>
      </c>
      <c r="D64">
        <v>268.95999999999998</v>
      </c>
      <c r="E64">
        <f>D64*B64</f>
        <v>537.91999999999996</v>
      </c>
      <c r="F64" t="s">
        <v>177</v>
      </c>
      <c r="G64" s="1">
        <v>46035</v>
      </c>
      <c r="H64" t="s">
        <v>325</v>
      </c>
      <c r="I64">
        <v>1</v>
      </c>
      <c r="J64" t="b">
        <f>B64&lt;I64</f>
        <v>0</v>
      </c>
      <c r="K64" t="b">
        <f>B64=0</f>
        <v>0</v>
      </c>
      <c r="L64" s="3" t="s">
        <v>230</v>
      </c>
    </row>
    <row r="65" spans="1:12">
      <c r="A65" s="2" t="s">
        <v>194</v>
      </c>
      <c r="B65">
        <v>2</v>
      </c>
      <c r="C65" s="3" t="s">
        <v>352</v>
      </c>
      <c r="D65">
        <v>733.5</v>
      </c>
      <c r="E65">
        <f>D65*B65</f>
        <v>1467</v>
      </c>
      <c r="F65" t="s">
        <v>177</v>
      </c>
      <c r="G65" s="1">
        <v>45945</v>
      </c>
      <c r="H65" t="s">
        <v>325</v>
      </c>
      <c r="I65">
        <v>1</v>
      </c>
      <c r="J65" t="b">
        <f>B65&lt;I65</f>
        <v>0</v>
      </c>
      <c r="K65" t="b">
        <f>B65=0</f>
        <v>0</v>
      </c>
      <c r="L65" s="3" t="s">
        <v>250</v>
      </c>
    </row>
    <row r="66" spans="1:12">
      <c r="A66" t="s">
        <v>772</v>
      </c>
      <c r="B66">
        <v>2</v>
      </c>
      <c r="D66">
        <v>34.69</v>
      </c>
      <c r="E66">
        <f>D66*B66</f>
        <v>69.38</v>
      </c>
      <c r="F66" t="s">
        <v>176</v>
      </c>
      <c r="G66" s="1">
        <v>45827</v>
      </c>
      <c r="H66" t="s">
        <v>325</v>
      </c>
      <c r="I66">
        <v>1</v>
      </c>
      <c r="J66" t="b">
        <f>B66&lt;I66</f>
        <v>0</v>
      </c>
      <c r="K66" t="b">
        <f>B66=0</f>
        <v>0</v>
      </c>
      <c r="L66" t="s">
        <v>775</v>
      </c>
    </row>
    <row r="67" spans="1:12" ht="28.5">
      <c r="A67" s="2" t="s">
        <v>153</v>
      </c>
      <c r="B67">
        <v>2</v>
      </c>
      <c r="C67" s="3" t="s">
        <v>341</v>
      </c>
      <c r="D67">
        <v>176</v>
      </c>
      <c r="E67">
        <f>D67*B67</f>
        <v>352</v>
      </c>
      <c r="F67" t="s">
        <v>180</v>
      </c>
      <c r="G67" s="1">
        <v>45737</v>
      </c>
      <c r="H67" t="s">
        <v>325</v>
      </c>
      <c r="I67">
        <v>1</v>
      </c>
      <c r="J67" t="b">
        <f>B67&lt;I67</f>
        <v>0</v>
      </c>
      <c r="K67" t="b">
        <f>B67=0</f>
        <v>0</v>
      </c>
      <c r="L67" s="3" t="s">
        <v>277</v>
      </c>
    </row>
    <row r="68" spans="1:12">
      <c r="A68" t="s">
        <v>1003</v>
      </c>
      <c r="B68">
        <v>2</v>
      </c>
      <c r="C68" s="10">
        <v>6006647</v>
      </c>
      <c r="D68">
        <v>86.61</v>
      </c>
      <c r="E68">
        <f>D68*B68</f>
        <v>173.22</v>
      </c>
      <c r="F68" t="s">
        <v>182</v>
      </c>
      <c r="G68" s="1">
        <v>45714</v>
      </c>
      <c r="H68" t="s">
        <v>325</v>
      </c>
      <c r="I68">
        <v>0</v>
      </c>
      <c r="J68" t="b">
        <f>B68&lt;I68</f>
        <v>0</v>
      </c>
      <c r="K68" t="b">
        <f>B68=0</f>
        <v>0</v>
      </c>
      <c r="L68" t="s">
        <v>1006</v>
      </c>
    </row>
    <row r="69" spans="1:12">
      <c r="A69" s="2" t="s">
        <v>201</v>
      </c>
      <c r="B69">
        <v>2</v>
      </c>
      <c r="C69" s="3" t="s">
        <v>360</v>
      </c>
      <c r="D69">
        <v>906.63</v>
      </c>
      <c r="E69">
        <f>D69*B69</f>
        <v>1813.26</v>
      </c>
      <c r="F69" t="s">
        <v>184</v>
      </c>
      <c r="G69" s="1">
        <v>45644</v>
      </c>
      <c r="H69" t="s">
        <v>326</v>
      </c>
      <c r="I69">
        <v>1</v>
      </c>
      <c r="J69" t="b">
        <f>B69&lt;I69</f>
        <v>0</v>
      </c>
      <c r="K69" t="b">
        <f>B69=0</f>
        <v>0</v>
      </c>
      <c r="L69" s="3" t="s">
        <v>261</v>
      </c>
    </row>
    <row r="70" spans="1:12">
      <c r="A70" s="2" t="s">
        <v>796</v>
      </c>
      <c r="B70">
        <v>2</v>
      </c>
      <c r="C70" s="3" t="s">
        <v>419</v>
      </c>
      <c r="D70">
        <v>31</v>
      </c>
      <c r="E70">
        <f>D70*B70</f>
        <v>62</v>
      </c>
      <c r="F70" t="s">
        <v>177</v>
      </c>
      <c r="G70" s="1">
        <v>45330</v>
      </c>
      <c r="H70" t="s">
        <v>325</v>
      </c>
      <c r="I70">
        <v>1</v>
      </c>
      <c r="J70" t="b">
        <f>B70&lt;I70</f>
        <v>0</v>
      </c>
      <c r="K70" t="b">
        <f>B70=0</f>
        <v>0</v>
      </c>
      <c r="L70" s="3" t="s">
        <v>292</v>
      </c>
    </row>
    <row r="71" spans="1:12">
      <c r="A71" s="2" t="s">
        <v>195</v>
      </c>
      <c r="B71">
        <v>2</v>
      </c>
      <c r="C71" s="3" t="s">
        <v>356</v>
      </c>
      <c r="D71">
        <v>28.5</v>
      </c>
      <c r="E71">
        <f>D71*B71</f>
        <v>57</v>
      </c>
      <c r="F71" t="s">
        <v>185</v>
      </c>
      <c r="G71" s="1">
        <v>45274</v>
      </c>
      <c r="H71" t="s">
        <v>325</v>
      </c>
      <c r="I71">
        <v>1</v>
      </c>
      <c r="J71" t="b">
        <f>B71&lt;I71</f>
        <v>0</v>
      </c>
      <c r="K71" t="b">
        <f>B71=0</f>
        <v>0</v>
      </c>
      <c r="L71" s="3" t="s">
        <v>251</v>
      </c>
    </row>
    <row r="72" spans="1:12">
      <c r="A72" s="2" t="s">
        <v>210</v>
      </c>
      <c r="B72">
        <v>2</v>
      </c>
      <c r="C72" s="3" t="s">
        <v>385</v>
      </c>
      <c r="D72">
        <v>104.84</v>
      </c>
      <c r="E72">
        <f>D72*B72</f>
        <v>209.68</v>
      </c>
      <c r="F72" t="s">
        <v>176</v>
      </c>
      <c r="G72" s="1">
        <v>45196</v>
      </c>
      <c r="H72" t="s">
        <v>325</v>
      </c>
      <c r="I72">
        <v>0</v>
      </c>
      <c r="J72" t="b">
        <f>B72&lt;I72</f>
        <v>0</v>
      </c>
      <c r="K72" t="b">
        <f>B72=0</f>
        <v>0</v>
      </c>
      <c r="L72" s="3" t="s">
        <v>279</v>
      </c>
    </row>
    <row r="73" spans="1:12">
      <c r="A73" t="s">
        <v>843</v>
      </c>
      <c r="B73">
        <v>2</v>
      </c>
      <c r="D73">
        <v>6.49</v>
      </c>
      <c r="E73">
        <f>D73*B73</f>
        <v>12.98</v>
      </c>
      <c r="F73" t="s">
        <v>176</v>
      </c>
      <c r="G73" s="1">
        <v>45393</v>
      </c>
      <c r="H73" t="s">
        <v>325</v>
      </c>
      <c r="I73">
        <v>1</v>
      </c>
      <c r="J73" t="b">
        <f>B73&lt;I73</f>
        <v>0</v>
      </c>
      <c r="K73" t="b">
        <f>B73=0</f>
        <v>0</v>
      </c>
    </row>
    <row r="74" spans="1:12">
      <c r="A74" s="2" t="s">
        <v>839</v>
      </c>
      <c r="B74">
        <v>2</v>
      </c>
      <c r="C74" s="3" t="s">
        <v>356</v>
      </c>
      <c r="D74">
        <v>28.5</v>
      </c>
      <c r="E74">
        <f>D74*B74</f>
        <v>57</v>
      </c>
      <c r="F74" t="s">
        <v>185</v>
      </c>
      <c r="G74" s="1">
        <v>45593</v>
      </c>
      <c r="H74" t="s">
        <v>325</v>
      </c>
      <c r="I74">
        <v>1</v>
      </c>
      <c r="J74" t="b">
        <f>C74&lt;I74</f>
        <v>0</v>
      </c>
      <c r="K74" t="b">
        <f>C74=0</f>
        <v>0</v>
      </c>
      <c r="L74" s="3" t="s">
        <v>251</v>
      </c>
    </row>
    <row r="75" spans="1:12">
      <c r="A75" s="2" t="s">
        <v>193</v>
      </c>
      <c r="B75">
        <v>3</v>
      </c>
      <c r="C75" s="3" t="s">
        <v>342</v>
      </c>
      <c r="D75">
        <v>73.5</v>
      </c>
      <c r="E75">
        <f>D75*B75</f>
        <v>220.5</v>
      </c>
      <c r="F75" t="s">
        <v>184</v>
      </c>
      <c r="G75" s="1">
        <v>46072</v>
      </c>
      <c r="H75" t="s">
        <v>325</v>
      </c>
      <c r="I75">
        <v>1</v>
      </c>
      <c r="J75" t="b">
        <f>B75&lt;I75</f>
        <v>0</v>
      </c>
      <c r="K75" t="b">
        <f>B75=0</f>
        <v>0</v>
      </c>
      <c r="L75" s="3" t="s">
        <v>249</v>
      </c>
    </row>
    <row r="76" spans="1:12">
      <c r="A76" s="2" t="s">
        <v>819</v>
      </c>
      <c r="B76">
        <v>3</v>
      </c>
      <c r="C76" s="3" t="s">
        <v>344</v>
      </c>
      <c r="D76">
        <v>120</v>
      </c>
      <c r="E76">
        <f>D76*B76</f>
        <v>360</v>
      </c>
      <c r="F76" t="s">
        <v>182</v>
      </c>
      <c r="G76" s="24">
        <v>46072</v>
      </c>
      <c r="H76" t="s">
        <v>325</v>
      </c>
      <c r="I76">
        <v>0</v>
      </c>
      <c r="J76" t="b">
        <f>B76&lt;I76</f>
        <v>0</v>
      </c>
      <c r="K76" t="b">
        <f>B76=0</f>
        <v>0</v>
      </c>
      <c r="L76" s="25" t="s">
        <v>266</v>
      </c>
    </row>
    <row r="77" spans="1:12">
      <c r="A77" t="s">
        <v>140</v>
      </c>
      <c r="B77">
        <v>3</v>
      </c>
      <c r="C77" s="3" t="s">
        <v>368</v>
      </c>
      <c r="D77">
        <v>316.44</v>
      </c>
      <c r="E77">
        <f>D77*B77</f>
        <v>949.31999999999994</v>
      </c>
      <c r="F77" t="s">
        <v>178</v>
      </c>
      <c r="G77" s="1">
        <v>46044</v>
      </c>
      <c r="H77" t="s">
        <v>325</v>
      </c>
      <c r="I77">
        <v>1</v>
      </c>
      <c r="J77" t="b">
        <f>B77&lt;I77</f>
        <v>0</v>
      </c>
      <c r="K77" t="b">
        <f>B77=0</f>
        <v>0</v>
      </c>
      <c r="L77" s="3" t="s">
        <v>512</v>
      </c>
    </row>
    <row r="78" spans="1:12">
      <c r="A78" t="s">
        <v>174</v>
      </c>
      <c r="B78">
        <v>3</v>
      </c>
      <c r="C78" s="3" t="s">
        <v>389</v>
      </c>
      <c r="D78">
        <v>547.4</v>
      </c>
      <c r="E78">
        <f>D78*B78</f>
        <v>1642.1999999999998</v>
      </c>
      <c r="F78" t="s">
        <v>177</v>
      </c>
      <c r="G78" s="1">
        <v>46041</v>
      </c>
      <c r="H78" t="s">
        <v>325</v>
      </c>
      <c r="I78">
        <v>1</v>
      </c>
      <c r="J78" t="b">
        <f>B78&lt;I78</f>
        <v>0</v>
      </c>
      <c r="K78" t="b">
        <f>B78=0</f>
        <v>0</v>
      </c>
      <c r="L78" s="3" t="s">
        <v>514</v>
      </c>
    </row>
    <row r="79" spans="1:12">
      <c r="A79" s="2" t="s">
        <v>145</v>
      </c>
      <c r="B79">
        <v>3</v>
      </c>
      <c r="C79" s="3" t="s">
        <v>370</v>
      </c>
      <c r="D79">
        <v>76.5</v>
      </c>
      <c r="E79">
        <f>D79*B79</f>
        <v>229.5</v>
      </c>
      <c r="F79" t="s">
        <v>180</v>
      </c>
      <c r="G79" s="1">
        <v>45450</v>
      </c>
      <c r="H79" t="s">
        <v>325</v>
      </c>
      <c r="I79">
        <v>1</v>
      </c>
      <c r="J79" t="b">
        <f>B79&lt;I79</f>
        <v>0</v>
      </c>
      <c r="K79" t="b">
        <f>B79=0</f>
        <v>0</v>
      </c>
      <c r="L79" s="3" t="s">
        <v>289</v>
      </c>
    </row>
    <row r="80" spans="1:12" ht="28.5">
      <c r="A80" s="2" t="s">
        <v>794</v>
      </c>
      <c r="B80">
        <v>3</v>
      </c>
      <c r="C80" s="3" t="s">
        <v>418</v>
      </c>
      <c r="D80">
        <v>31</v>
      </c>
      <c r="E80">
        <f>D80*B80</f>
        <v>93</v>
      </c>
      <c r="F80" t="s">
        <v>177</v>
      </c>
      <c r="G80" s="1">
        <v>45565</v>
      </c>
      <c r="H80" t="s">
        <v>325</v>
      </c>
      <c r="I80">
        <v>1</v>
      </c>
      <c r="J80" t="b">
        <f>B80&lt;I80</f>
        <v>0</v>
      </c>
      <c r="K80" t="b">
        <f>B80=0</f>
        <v>0</v>
      </c>
      <c r="L80" s="3" t="s">
        <v>245</v>
      </c>
    </row>
    <row r="81" spans="1:13">
      <c r="A81" s="2" t="s">
        <v>220</v>
      </c>
      <c r="B81">
        <v>3</v>
      </c>
      <c r="C81" s="3" t="s">
        <v>403</v>
      </c>
      <c r="D81">
        <v>8</v>
      </c>
      <c r="E81">
        <f>D81*B81</f>
        <v>24</v>
      </c>
      <c r="F81" t="s">
        <v>176</v>
      </c>
      <c r="G81" s="1">
        <v>45719</v>
      </c>
      <c r="H81" t="s">
        <v>325</v>
      </c>
      <c r="I81">
        <v>1</v>
      </c>
      <c r="J81" t="b">
        <f>B81&lt;I81</f>
        <v>0</v>
      </c>
      <c r="K81" t="b">
        <f>B81=0</f>
        <v>0</v>
      </c>
      <c r="L81" s="3" t="s">
        <v>299</v>
      </c>
    </row>
    <row r="82" spans="1:13">
      <c r="A82" t="s">
        <v>170</v>
      </c>
      <c r="B82">
        <v>3</v>
      </c>
      <c r="C82" s="3" t="s">
        <v>340</v>
      </c>
      <c r="D82">
        <v>80</v>
      </c>
      <c r="E82">
        <f>D82*B82</f>
        <v>240</v>
      </c>
      <c r="F82" t="s">
        <v>179</v>
      </c>
      <c r="G82" s="1">
        <v>46035</v>
      </c>
      <c r="H82" t="s">
        <v>325</v>
      </c>
      <c r="I82">
        <v>1</v>
      </c>
      <c r="J82" t="b">
        <f>B82&lt;I82</f>
        <v>0</v>
      </c>
      <c r="K82" t="b">
        <f>B82=0</f>
        <v>0</v>
      </c>
      <c r="L82" s="3" t="s">
        <v>231</v>
      </c>
    </row>
    <row r="83" spans="1:13">
      <c r="A83" t="s">
        <v>887</v>
      </c>
      <c r="B83">
        <v>4</v>
      </c>
      <c r="C83" s="10">
        <v>6031067</v>
      </c>
      <c r="D83">
        <v>412</v>
      </c>
      <c r="E83">
        <f>D83*B83</f>
        <v>1648</v>
      </c>
      <c r="F83" t="s">
        <v>187</v>
      </c>
      <c r="G83" s="1">
        <v>46034</v>
      </c>
      <c r="H83" t="s">
        <v>325</v>
      </c>
      <c r="I83">
        <v>0</v>
      </c>
      <c r="J83" t="b">
        <f>B83&lt;I83</f>
        <v>0</v>
      </c>
      <c r="K83" t="b">
        <f>B83=0</f>
        <v>0</v>
      </c>
      <c r="L83" t="s">
        <v>891</v>
      </c>
    </row>
    <row r="84" spans="1:13">
      <c r="A84" s="2" t="s">
        <v>148</v>
      </c>
      <c r="B84">
        <v>4</v>
      </c>
      <c r="C84" s="3" t="s">
        <v>351</v>
      </c>
      <c r="D84">
        <v>74.06</v>
      </c>
      <c r="E84">
        <f>D84*B84</f>
        <v>296.24</v>
      </c>
      <c r="F84" t="s">
        <v>186</v>
      </c>
      <c r="G84" s="3" t="s">
        <v>1108</v>
      </c>
      <c r="H84" t="s">
        <v>325</v>
      </c>
      <c r="I84">
        <v>1</v>
      </c>
      <c r="J84" t="b">
        <f>B84&lt;I84</f>
        <v>0</v>
      </c>
      <c r="K84" t="b">
        <f>B84=0</f>
        <v>0</v>
      </c>
      <c r="L84" s="3" t="s">
        <v>256</v>
      </c>
    </row>
    <row r="85" spans="1:13">
      <c r="A85" s="2" t="s">
        <v>204</v>
      </c>
      <c r="B85">
        <v>4</v>
      </c>
      <c r="C85" s="3" t="s">
        <v>402</v>
      </c>
      <c r="D85">
        <v>70.289999999999992</v>
      </c>
      <c r="E85">
        <f>D85*B85</f>
        <v>281.15999999999997</v>
      </c>
      <c r="F85" t="s">
        <v>184</v>
      </c>
      <c r="G85" s="1">
        <v>45576</v>
      </c>
      <c r="H85" t="s">
        <v>325</v>
      </c>
      <c r="I85">
        <v>2</v>
      </c>
      <c r="J85" t="b">
        <f>B85&lt;I85</f>
        <v>0</v>
      </c>
      <c r="K85" t="b">
        <f>B85=0</f>
        <v>0</v>
      </c>
      <c r="L85" s="3" t="s">
        <v>263</v>
      </c>
    </row>
    <row r="86" spans="1:13">
      <c r="A86" s="2" t="s">
        <v>161</v>
      </c>
      <c r="B86">
        <v>4</v>
      </c>
      <c r="C86" s="3" t="s">
        <v>348</v>
      </c>
      <c r="D86">
        <v>12.450000000000001</v>
      </c>
      <c r="E86">
        <f>D86*B86</f>
        <v>49.800000000000004</v>
      </c>
      <c r="F86" t="s">
        <v>176</v>
      </c>
      <c r="G86" s="1">
        <v>45280</v>
      </c>
      <c r="H86" t="s">
        <v>326</v>
      </c>
      <c r="I86">
        <v>1</v>
      </c>
      <c r="J86" t="b">
        <f>B86&lt;I86</f>
        <v>0</v>
      </c>
      <c r="K86" t="b">
        <f>B86=0</f>
        <v>0</v>
      </c>
      <c r="L86" s="3" t="s">
        <v>259</v>
      </c>
    </row>
    <row r="87" spans="1:13">
      <c r="A87" s="2" t="s">
        <v>799</v>
      </c>
      <c r="B87">
        <v>4</v>
      </c>
      <c r="C87" s="3" t="s">
        <v>338</v>
      </c>
      <c r="D87">
        <v>67.25</v>
      </c>
      <c r="E87">
        <f>D87*B87</f>
        <v>269</v>
      </c>
      <c r="F87" t="s">
        <v>177</v>
      </c>
      <c r="G87" s="1">
        <v>45860</v>
      </c>
      <c r="H87" t="s">
        <v>325</v>
      </c>
      <c r="I87">
        <v>2</v>
      </c>
      <c r="J87" t="b">
        <f>B87&lt;I87</f>
        <v>0</v>
      </c>
      <c r="K87" t="b">
        <f>B87=0</f>
        <v>0</v>
      </c>
      <c r="L87" s="3" t="s">
        <v>282</v>
      </c>
    </row>
    <row r="88" spans="1:13">
      <c r="A88" t="s">
        <v>968</v>
      </c>
      <c r="B88">
        <v>4</v>
      </c>
      <c r="C88" s="10">
        <v>4244988</v>
      </c>
      <c r="D88">
        <v>4.79</v>
      </c>
      <c r="E88">
        <f>D88*B88</f>
        <v>19.16</v>
      </c>
      <c r="F88" t="s">
        <v>176</v>
      </c>
      <c r="G88" s="1">
        <v>46010</v>
      </c>
      <c r="H88" t="s">
        <v>325</v>
      </c>
      <c r="I88">
        <v>1</v>
      </c>
      <c r="J88" t="b">
        <f>B88&lt;I88</f>
        <v>0</v>
      </c>
      <c r="K88" t="b">
        <f>B88=0</f>
        <v>0</v>
      </c>
      <c r="L88" t="s">
        <v>966</v>
      </c>
    </row>
    <row r="89" spans="1:13">
      <c r="A89" t="s">
        <v>793</v>
      </c>
      <c r="B89">
        <v>4</v>
      </c>
      <c r="C89" s="4" t="s">
        <v>744</v>
      </c>
      <c r="D89">
        <v>119</v>
      </c>
      <c r="E89">
        <f>D89*B89</f>
        <v>476</v>
      </c>
      <c r="F89" t="s">
        <v>184</v>
      </c>
      <c r="G89" s="1">
        <v>46070</v>
      </c>
      <c r="H89" t="s">
        <v>325</v>
      </c>
      <c r="I89">
        <v>1</v>
      </c>
      <c r="J89" t="b">
        <f>B89&lt;I89</f>
        <v>0</v>
      </c>
      <c r="K89" t="b">
        <f>B89=0</f>
        <v>0</v>
      </c>
      <c r="L89" t="s">
        <v>745</v>
      </c>
    </row>
    <row r="90" spans="1:13">
      <c r="A90" s="2" t="s">
        <v>798</v>
      </c>
      <c r="B90">
        <v>5</v>
      </c>
      <c r="C90" s="3" t="s">
        <v>362</v>
      </c>
      <c r="D90">
        <v>6.1</v>
      </c>
      <c r="E90">
        <f>D90*B90</f>
        <v>30.5</v>
      </c>
      <c r="F90" t="s">
        <v>180</v>
      </c>
      <c r="G90" s="1">
        <v>45300</v>
      </c>
      <c r="H90" t="s">
        <v>325</v>
      </c>
      <c r="I90">
        <v>1</v>
      </c>
      <c r="J90" t="b">
        <f>B90&lt;I90</f>
        <v>0</v>
      </c>
      <c r="K90" t="b">
        <f>B90=0</f>
        <v>0</v>
      </c>
      <c r="L90" s="3" t="s">
        <v>254</v>
      </c>
    </row>
    <row r="91" spans="1:13">
      <c r="A91" t="s">
        <v>797</v>
      </c>
      <c r="B91">
        <v>5</v>
      </c>
      <c r="C91" s="3" t="s">
        <v>375</v>
      </c>
      <c r="D91">
        <v>724</v>
      </c>
      <c r="E91">
        <f>D91*B91</f>
        <v>3620</v>
      </c>
      <c r="F91" t="s">
        <v>180</v>
      </c>
      <c r="G91" s="1">
        <v>45196</v>
      </c>
      <c r="H91" t="s">
        <v>326</v>
      </c>
      <c r="I91">
        <v>1</v>
      </c>
      <c r="J91" t="b">
        <f>B91&lt;I91</f>
        <v>0</v>
      </c>
      <c r="K91" t="b">
        <f>B91=0</f>
        <v>0</v>
      </c>
      <c r="L91" s="3" t="s">
        <v>232</v>
      </c>
    </row>
    <row r="92" spans="1:13">
      <c r="A92" s="2" t="s">
        <v>209</v>
      </c>
      <c r="B92">
        <v>6</v>
      </c>
      <c r="C92" s="3" t="s">
        <v>387</v>
      </c>
      <c r="D92">
        <v>2.9</v>
      </c>
      <c r="E92">
        <f>D92*B92</f>
        <v>17.399999999999999</v>
      </c>
      <c r="F92" t="s">
        <v>176</v>
      </c>
      <c r="G92" s="1">
        <v>45709</v>
      </c>
      <c r="H92" t="s">
        <v>325</v>
      </c>
      <c r="I92">
        <v>1</v>
      </c>
      <c r="J92" t="b">
        <f>B92&lt;I92</f>
        <v>0</v>
      </c>
      <c r="K92" t="b">
        <f>B92=0</f>
        <v>0</v>
      </c>
      <c r="L92" s="3" t="s">
        <v>276</v>
      </c>
    </row>
    <row r="93" spans="1:13">
      <c r="A93" t="s">
        <v>886</v>
      </c>
      <c r="B93">
        <v>6</v>
      </c>
      <c r="C93" s="3" t="s">
        <v>381</v>
      </c>
      <c r="D93">
        <v>35.75</v>
      </c>
      <c r="E93">
        <f>D93*B93</f>
        <v>214.5</v>
      </c>
      <c r="F93" t="s">
        <v>178</v>
      </c>
      <c r="G93" s="1">
        <v>46066</v>
      </c>
      <c r="H93" t="s">
        <v>325</v>
      </c>
      <c r="I93">
        <v>5</v>
      </c>
      <c r="J93" t="b">
        <f>B93&lt;I93</f>
        <v>0</v>
      </c>
      <c r="K93" t="b">
        <f>B93=0</f>
        <v>0</v>
      </c>
      <c r="L93" s="3" t="s">
        <v>236</v>
      </c>
    </row>
    <row r="94" spans="1:13">
      <c r="A94" s="2" t="s">
        <v>492</v>
      </c>
      <c r="B94">
        <v>7</v>
      </c>
      <c r="C94" s="3" t="s">
        <v>348</v>
      </c>
      <c r="D94">
        <v>8.25</v>
      </c>
      <c r="E94">
        <f>D94*B94</f>
        <v>57.75</v>
      </c>
      <c r="F94" t="s">
        <v>176</v>
      </c>
      <c r="G94" s="1">
        <v>45695</v>
      </c>
      <c r="H94" t="s">
        <v>325</v>
      </c>
      <c r="I94">
        <v>1</v>
      </c>
      <c r="J94" t="b">
        <f>B94&lt;I94</f>
        <v>0</v>
      </c>
      <c r="K94" t="b">
        <f>B94=0</f>
        <v>0</v>
      </c>
      <c r="L94" s="3" t="s">
        <v>286</v>
      </c>
    </row>
    <row r="95" spans="1:13">
      <c r="A95" s="2" t="s">
        <v>952</v>
      </c>
      <c r="B95">
        <v>7</v>
      </c>
      <c r="C95" s="3" t="s">
        <v>399</v>
      </c>
      <c r="D95">
        <v>22.36</v>
      </c>
      <c r="E95">
        <f>D95*B95</f>
        <v>156.51999999999998</v>
      </c>
      <c r="F95" t="s">
        <v>176</v>
      </c>
      <c r="G95" s="1">
        <v>46042</v>
      </c>
      <c r="H95" t="s">
        <v>325</v>
      </c>
      <c r="I95">
        <v>1</v>
      </c>
      <c r="J95" t="b">
        <f>B95&lt;I95</f>
        <v>0</v>
      </c>
      <c r="K95" t="b">
        <f>B95=0</f>
        <v>0</v>
      </c>
      <c r="L95" s="3" t="s">
        <v>240</v>
      </c>
      <c r="M95" s="4" t="s">
        <v>784</v>
      </c>
    </row>
    <row r="96" spans="1:13">
      <c r="A96" t="s">
        <v>141</v>
      </c>
      <c r="B96">
        <v>8</v>
      </c>
      <c r="C96" s="3" t="s">
        <v>348</v>
      </c>
      <c r="D96">
        <v>12</v>
      </c>
      <c r="E96">
        <f>D96*B96</f>
        <v>96</v>
      </c>
      <c r="F96" t="s">
        <v>176</v>
      </c>
      <c r="G96" s="1">
        <v>45630</v>
      </c>
      <c r="H96" t="s">
        <v>325</v>
      </c>
      <c r="I96">
        <v>1</v>
      </c>
      <c r="J96" t="b">
        <f>B96&lt;I96</f>
        <v>0</v>
      </c>
      <c r="K96" t="b">
        <f>B96=0</f>
        <v>0</v>
      </c>
      <c r="L96" s="3" t="s">
        <v>226</v>
      </c>
    </row>
    <row r="97" spans="1:13">
      <c r="A97" s="2" t="s">
        <v>802</v>
      </c>
      <c r="B97">
        <v>9</v>
      </c>
      <c r="C97" s="3" t="s">
        <v>348</v>
      </c>
      <c r="D97">
        <v>1.8499999999999999</v>
      </c>
      <c r="E97">
        <f>D97*B97</f>
        <v>16.649999999999999</v>
      </c>
      <c r="F97" t="s">
        <v>176</v>
      </c>
      <c r="G97" s="1">
        <v>45280</v>
      </c>
      <c r="H97" t="s">
        <v>325</v>
      </c>
      <c r="I97">
        <v>1</v>
      </c>
      <c r="J97" t="b">
        <f>B97&lt;I97</f>
        <v>0</v>
      </c>
      <c r="K97" t="b">
        <f>B97=0</f>
        <v>0</v>
      </c>
      <c r="L97" s="3" t="s">
        <v>287</v>
      </c>
    </row>
    <row r="98" spans="1:13">
      <c r="A98" s="2" t="s">
        <v>142</v>
      </c>
      <c r="B98">
        <v>10</v>
      </c>
      <c r="C98" s="3" t="s">
        <v>384</v>
      </c>
      <c r="D98">
        <v>3.38</v>
      </c>
      <c r="E98">
        <f>D98*B98</f>
        <v>33.799999999999997</v>
      </c>
      <c r="F98" t="s">
        <v>176</v>
      </c>
      <c r="G98" s="1">
        <v>46044</v>
      </c>
      <c r="H98" t="s">
        <v>325</v>
      </c>
      <c r="I98">
        <v>2</v>
      </c>
      <c r="J98" t="b">
        <f>B98&lt;I98</f>
        <v>0</v>
      </c>
      <c r="K98" t="b">
        <f>B98=0</f>
        <v>0</v>
      </c>
      <c r="L98" s="3" t="s">
        <v>239</v>
      </c>
    </row>
    <row r="99" spans="1:13">
      <c r="A99" s="2" t="s">
        <v>810</v>
      </c>
      <c r="B99">
        <v>12</v>
      </c>
      <c r="C99" s="3" t="s">
        <v>382</v>
      </c>
      <c r="D99">
        <v>27.1</v>
      </c>
      <c r="E99">
        <f>D99*B99</f>
        <v>325.20000000000005</v>
      </c>
      <c r="F99" t="s">
        <v>178</v>
      </c>
      <c r="G99" s="1">
        <v>46073</v>
      </c>
      <c r="H99" t="s">
        <v>325</v>
      </c>
      <c r="I99">
        <v>0</v>
      </c>
      <c r="J99" t="b">
        <f>B99&lt;I99</f>
        <v>0</v>
      </c>
      <c r="K99" t="b">
        <f>B99=0</f>
        <v>0</v>
      </c>
      <c r="L99" s="3" t="s">
        <v>295</v>
      </c>
    </row>
    <row r="100" spans="1:13">
      <c r="A100" s="2" t="s">
        <v>468</v>
      </c>
      <c r="B100">
        <v>18</v>
      </c>
      <c r="C100" s="3" t="s">
        <v>363</v>
      </c>
      <c r="D100">
        <v>7.95</v>
      </c>
      <c r="E100">
        <f>D100*B100</f>
        <v>143.1</v>
      </c>
      <c r="F100" t="s">
        <v>176</v>
      </c>
      <c r="G100" s="1">
        <v>46066</v>
      </c>
      <c r="H100" t="s">
        <v>325</v>
      </c>
      <c r="I100">
        <v>2</v>
      </c>
      <c r="J100" t="b">
        <f>B100&lt;I100</f>
        <v>0</v>
      </c>
      <c r="K100" t="b">
        <f>B100=0</f>
        <v>0</v>
      </c>
      <c r="L100" s="3" t="s">
        <v>247</v>
      </c>
    </row>
    <row r="101" spans="1:13">
      <c r="A101" t="s">
        <v>800</v>
      </c>
      <c r="B101">
        <v>18</v>
      </c>
      <c r="C101" s="3" t="s">
        <v>383</v>
      </c>
      <c r="D101">
        <v>24.1</v>
      </c>
      <c r="E101">
        <f>D101*B101</f>
        <v>433.8</v>
      </c>
      <c r="F101" t="s">
        <v>178</v>
      </c>
      <c r="G101" s="1">
        <v>46073</v>
      </c>
      <c r="H101" t="s">
        <v>325</v>
      </c>
      <c r="I101">
        <v>5</v>
      </c>
      <c r="J101" t="b">
        <f>B101&lt;I101</f>
        <v>0</v>
      </c>
      <c r="K101" t="b">
        <f>B101=0</f>
        <v>0</v>
      </c>
      <c r="L101" s="3" t="s">
        <v>235</v>
      </c>
    </row>
    <row r="102" spans="1:13">
      <c r="A102" s="2" t="s">
        <v>192</v>
      </c>
      <c r="B102">
        <v>19</v>
      </c>
      <c r="C102" s="3" t="s">
        <v>364</v>
      </c>
      <c r="D102">
        <v>7.95</v>
      </c>
      <c r="E102">
        <f>D102*B102</f>
        <v>151.05000000000001</v>
      </c>
      <c r="F102" t="s">
        <v>176</v>
      </c>
      <c r="G102" s="1">
        <v>46066</v>
      </c>
      <c r="H102" t="s">
        <v>325</v>
      </c>
      <c r="I102">
        <v>2</v>
      </c>
      <c r="J102" t="b">
        <f>B102&lt;I102</f>
        <v>0</v>
      </c>
      <c r="K102" t="b">
        <f>B102=0</f>
        <v>0</v>
      </c>
      <c r="L102" s="3" t="s">
        <v>246</v>
      </c>
    </row>
    <row r="103" spans="1:13" ht="28.5">
      <c r="A103" t="s">
        <v>803</v>
      </c>
      <c r="B103">
        <v>20</v>
      </c>
      <c r="C103" s="3" t="s">
        <v>339</v>
      </c>
      <c r="D103">
        <v>53.95</v>
      </c>
      <c r="E103">
        <f>D103*B103</f>
        <v>1079</v>
      </c>
      <c r="F103" t="s">
        <v>177</v>
      </c>
      <c r="G103" s="1">
        <v>46072</v>
      </c>
      <c r="H103" t="s">
        <v>325</v>
      </c>
      <c r="I103">
        <v>3</v>
      </c>
      <c r="J103" t="b">
        <f>B103&lt;I103</f>
        <v>0</v>
      </c>
      <c r="K103" t="b">
        <f>B103=0</f>
        <v>0</v>
      </c>
      <c r="L103" s="3" t="s">
        <v>726</v>
      </c>
      <c r="M103" s="3" t="s">
        <v>783</v>
      </c>
    </row>
    <row r="104" spans="1:13">
      <c r="A104" s="2" t="s">
        <v>449</v>
      </c>
      <c r="B104">
        <v>44</v>
      </c>
      <c r="C104" s="3" t="s">
        <v>520</v>
      </c>
      <c r="D104" s="6">
        <v>2.8</v>
      </c>
      <c r="E104">
        <f>D104*B104</f>
        <v>123.19999999999999</v>
      </c>
      <c r="F104" s="2" t="s">
        <v>176</v>
      </c>
      <c r="G104" s="8">
        <v>45709</v>
      </c>
      <c r="H104" s="2" t="s">
        <v>325</v>
      </c>
      <c r="I104">
        <v>1</v>
      </c>
      <c r="J104" t="b">
        <f>B104&lt;I104</f>
        <v>0</v>
      </c>
      <c r="K104" t="b">
        <f>B104=0</f>
        <v>0</v>
      </c>
      <c r="L104" s="3" t="s">
        <v>451</v>
      </c>
    </row>
    <row r="105" spans="1:13">
      <c r="A105" t="s">
        <v>188</v>
      </c>
      <c r="B105">
        <v>500</v>
      </c>
      <c r="C105" s="3" t="s">
        <v>349</v>
      </c>
      <c r="D105">
        <v>122.3</v>
      </c>
      <c r="E105">
        <f>D105*B105</f>
        <v>61150</v>
      </c>
      <c r="F105" t="s">
        <v>177</v>
      </c>
      <c r="G105" s="1">
        <v>45757</v>
      </c>
      <c r="H105" t="s">
        <v>325</v>
      </c>
      <c r="I105">
        <v>1</v>
      </c>
      <c r="J105" t="b">
        <f>B105&lt;I105</f>
        <v>0</v>
      </c>
      <c r="K105" t="b">
        <f>B105=0</f>
        <v>0</v>
      </c>
      <c r="L105" s="3" t="s">
        <v>237</v>
      </c>
    </row>
    <row r="106" spans="1:13" ht="28.5">
      <c r="A106" s="2" t="s">
        <v>806</v>
      </c>
      <c r="C106" s="3" t="s">
        <v>521</v>
      </c>
      <c r="D106" s="6">
        <v>4</v>
      </c>
      <c r="E106">
        <f>D106*B106</f>
        <v>0</v>
      </c>
      <c r="F106" s="2" t="s">
        <v>176</v>
      </c>
      <c r="G106" s="8">
        <v>45274</v>
      </c>
      <c r="H106" s="2" t="s">
        <v>326</v>
      </c>
      <c r="I106">
        <v>0</v>
      </c>
      <c r="J106" t="b">
        <f>B106&lt;I106</f>
        <v>0</v>
      </c>
      <c r="K106" t="b">
        <f>B106=0</f>
        <v>1</v>
      </c>
      <c r="L106" s="3" t="s">
        <v>441</v>
      </c>
    </row>
    <row r="107" spans="1:13">
      <c r="A107" s="2" t="s">
        <v>146</v>
      </c>
      <c r="C107" s="3" t="s">
        <v>347</v>
      </c>
      <c r="D107">
        <v>16.71</v>
      </c>
      <c r="E107">
        <f>D107*B107</f>
        <v>0</v>
      </c>
      <c r="F107" t="s">
        <v>176</v>
      </c>
      <c r="G107" s="1">
        <v>45196</v>
      </c>
      <c r="H107" t="s">
        <v>326</v>
      </c>
      <c r="I107">
        <v>0</v>
      </c>
      <c r="J107" t="b">
        <f>B107&lt;I107</f>
        <v>0</v>
      </c>
      <c r="K107" t="b">
        <f>B107=0</f>
        <v>1</v>
      </c>
      <c r="L107" s="3" t="s">
        <v>298</v>
      </c>
    </row>
    <row r="108" spans="1:13">
      <c r="A108" s="2" t="s">
        <v>805</v>
      </c>
      <c r="C108" s="3" t="s">
        <v>355</v>
      </c>
      <c r="D108">
        <v>154.88999999999999</v>
      </c>
      <c r="E108">
        <f>D108*B108</f>
        <v>0</v>
      </c>
      <c r="F108" t="s">
        <v>176</v>
      </c>
      <c r="G108" s="1">
        <v>45196</v>
      </c>
      <c r="H108" t="s">
        <v>325</v>
      </c>
      <c r="I108">
        <v>0</v>
      </c>
      <c r="J108" t="b">
        <f>B108&lt;I108</f>
        <v>0</v>
      </c>
      <c r="K108" t="b">
        <f>B108=0</f>
        <v>1</v>
      </c>
      <c r="L108" s="3" t="s">
        <v>293</v>
      </c>
    </row>
    <row r="109" spans="1:13">
      <c r="A109" s="2" t="s">
        <v>807</v>
      </c>
      <c r="C109" s="3" t="s">
        <v>358</v>
      </c>
      <c r="D109">
        <v>9</v>
      </c>
      <c r="E109">
        <f>D109*B109</f>
        <v>0</v>
      </c>
      <c r="F109" t="s">
        <v>176</v>
      </c>
      <c r="G109" s="1">
        <v>45196</v>
      </c>
      <c r="H109" t="s">
        <v>325</v>
      </c>
      <c r="I109">
        <v>0</v>
      </c>
      <c r="J109" t="b">
        <f>B109&lt;I109</f>
        <v>0</v>
      </c>
      <c r="K109" t="b">
        <f>B109=0</f>
        <v>1</v>
      </c>
      <c r="L109" s="3" t="s">
        <v>269</v>
      </c>
    </row>
    <row r="110" spans="1:13">
      <c r="A110" s="2" t="s">
        <v>189</v>
      </c>
      <c r="C110" s="3" t="s">
        <v>359</v>
      </c>
      <c r="D110">
        <v>2922</v>
      </c>
      <c r="E110">
        <f>D110*B110</f>
        <v>0</v>
      </c>
      <c r="F110" t="s">
        <v>183</v>
      </c>
      <c r="G110" s="1">
        <v>45196</v>
      </c>
      <c r="H110" t="s">
        <v>326</v>
      </c>
      <c r="I110">
        <v>0</v>
      </c>
      <c r="J110" t="b">
        <f>B110&lt;I110</f>
        <v>0</v>
      </c>
      <c r="K110" t="b">
        <f>B110=0</f>
        <v>1</v>
      </c>
      <c r="L110" s="3" t="s">
        <v>241</v>
      </c>
    </row>
    <row r="111" spans="1:13">
      <c r="A111" s="2" t="s">
        <v>809</v>
      </c>
      <c r="C111" s="3" t="s">
        <v>522</v>
      </c>
      <c r="D111" s="6">
        <v>19</v>
      </c>
      <c r="E111">
        <f>D111*B111</f>
        <v>0</v>
      </c>
      <c r="F111" s="2" t="s">
        <v>176</v>
      </c>
      <c r="G111" s="8">
        <v>45274</v>
      </c>
      <c r="H111" s="2" t="s">
        <v>325</v>
      </c>
      <c r="I111">
        <v>1</v>
      </c>
      <c r="J111" t="b">
        <f>B111&lt;I111</f>
        <v>1</v>
      </c>
      <c r="K111" t="b">
        <f>B111=0</f>
        <v>1</v>
      </c>
      <c r="L111" s="3" t="s">
        <v>445</v>
      </c>
    </row>
    <row r="112" spans="1:13">
      <c r="A112" s="2" t="s">
        <v>198</v>
      </c>
      <c r="C112" s="3" t="s">
        <v>366</v>
      </c>
      <c r="D112">
        <v>95</v>
      </c>
      <c r="E112">
        <f>D112*B112</f>
        <v>0</v>
      </c>
      <c r="F112" t="s">
        <v>179</v>
      </c>
      <c r="G112" s="1">
        <v>45196</v>
      </c>
      <c r="H112" t="s">
        <v>325</v>
      </c>
      <c r="I112">
        <v>0</v>
      </c>
      <c r="J112" t="b">
        <f>B112&lt;I112</f>
        <v>0</v>
      </c>
      <c r="K112" t="b">
        <f>B112=0</f>
        <v>1</v>
      </c>
      <c r="L112" s="3" t="s">
        <v>257</v>
      </c>
    </row>
    <row r="113" spans="1:12">
      <c r="A113" s="2" t="s">
        <v>190</v>
      </c>
      <c r="C113" s="3" t="s">
        <v>378</v>
      </c>
      <c r="D113">
        <v>104.64</v>
      </c>
      <c r="E113">
        <f>D113*B113</f>
        <v>0</v>
      </c>
      <c r="F113" t="s">
        <v>177</v>
      </c>
      <c r="G113" s="1">
        <v>45196</v>
      </c>
      <c r="H113" t="s">
        <v>325</v>
      </c>
      <c r="I113">
        <v>0</v>
      </c>
      <c r="J113" t="b">
        <f>B113&lt;I113</f>
        <v>0</v>
      </c>
      <c r="K113" t="b">
        <f>B113=0</f>
        <v>1</v>
      </c>
      <c r="L113" s="3" t="s">
        <v>508</v>
      </c>
    </row>
    <row r="114" spans="1:12">
      <c r="A114" s="2" t="s">
        <v>199</v>
      </c>
      <c r="C114" s="3" t="s">
        <v>379</v>
      </c>
      <c r="D114">
        <v>793.62</v>
      </c>
      <c r="E114">
        <f>D114*B114</f>
        <v>0</v>
      </c>
      <c r="F114" t="s">
        <v>177</v>
      </c>
      <c r="G114" s="1">
        <v>45196</v>
      </c>
      <c r="H114" t="s">
        <v>325</v>
      </c>
      <c r="I114">
        <v>0</v>
      </c>
      <c r="J114" t="b">
        <f>B114&lt;I114</f>
        <v>0</v>
      </c>
      <c r="K114" t="b">
        <f>B114=0</f>
        <v>1</v>
      </c>
      <c r="L114" s="3" t="s">
        <v>519</v>
      </c>
    </row>
    <row r="115" spans="1:12">
      <c r="A115" s="2" t="s">
        <v>215</v>
      </c>
      <c r="C115" s="3" t="s">
        <v>390</v>
      </c>
      <c r="D115">
        <v>180.61</v>
      </c>
      <c r="E115">
        <f>D115*B115</f>
        <v>0</v>
      </c>
      <c r="F115" t="s">
        <v>176</v>
      </c>
      <c r="G115" s="1">
        <v>45196</v>
      </c>
      <c r="H115" t="s">
        <v>326</v>
      </c>
      <c r="I115">
        <v>0</v>
      </c>
      <c r="J115" t="b">
        <f>B115&lt;I115</f>
        <v>0</v>
      </c>
      <c r="K115" t="b">
        <f>B115=0</f>
        <v>1</v>
      </c>
      <c r="L115" s="3" t="s">
        <v>510</v>
      </c>
    </row>
    <row r="116" spans="1:12">
      <c r="A116" s="2" t="s">
        <v>780</v>
      </c>
      <c r="C116" s="3" t="s">
        <v>398</v>
      </c>
      <c r="D116">
        <v>363.46</v>
      </c>
      <c r="E116">
        <f>D116*B116</f>
        <v>0</v>
      </c>
      <c r="F116" t="s">
        <v>176</v>
      </c>
      <c r="G116" s="1">
        <v>45196</v>
      </c>
      <c r="H116" t="s">
        <v>325</v>
      </c>
      <c r="J116" t="b">
        <f>B116&lt;I116</f>
        <v>0</v>
      </c>
      <c r="K116" t="b">
        <f>B116=0</f>
        <v>1</v>
      </c>
      <c r="L116" s="3" t="s">
        <v>285</v>
      </c>
    </row>
    <row r="117" spans="1:12">
      <c r="A117" s="2" t="s">
        <v>812</v>
      </c>
      <c r="C117" s="3" t="s">
        <v>404</v>
      </c>
      <c r="D117">
        <v>80.5</v>
      </c>
      <c r="E117">
        <f>D117*B117</f>
        <v>0</v>
      </c>
      <c r="F117" t="s">
        <v>186</v>
      </c>
      <c r="G117" s="1">
        <v>45196</v>
      </c>
      <c r="H117" t="s">
        <v>325</v>
      </c>
      <c r="I117">
        <v>1</v>
      </c>
      <c r="J117" t="b">
        <f>B117&lt;I117</f>
        <v>1</v>
      </c>
      <c r="K117" t="b">
        <f>B117=0</f>
        <v>1</v>
      </c>
      <c r="L117" s="3" t="s">
        <v>294</v>
      </c>
    </row>
    <row r="118" spans="1:12">
      <c r="A118" t="s">
        <v>118</v>
      </c>
      <c r="C118" s="3" t="s">
        <v>348</v>
      </c>
      <c r="D118">
        <v>28</v>
      </c>
      <c r="E118">
        <f>D118*B118</f>
        <v>0</v>
      </c>
      <c r="F118" t="s">
        <v>176</v>
      </c>
      <c r="G118" s="1">
        <v>45196</v>
      </c>
      <c r="H118" t="s">
        <v>325</v>
      </c>
      <c r="I118">
        <v>0</v>
      </c>
      <c r="J118" t="b">
        <f>B118&lt;I118</f>
        <v>0</v>
      </c>
      <c r="K118" t="b">
        <f>B118=0</f>
        <v>1</v>
      </c>
      <c r="L118" s="3" t="s">
        <v>229</v>
      </c>
    </row>
    <row r="119" spans="1:12">
      <c r="A119" t="s">
        <v>168</v>
      </c>
      <c r="C119" s="3" t="s">
        <v>405</v>
      </c>
      <c r="D119">
        <v>2.7</v>
      </c>
      <c r="E119">
        <f>D119*B119</f>
        <v>0</v>
      </c>
      <c r="F119" t="s">
        <v>176</v>
      </c>
      <c r="G119" s="1">
        <v>45196</v>
      </c>
      <c r="H119" t="s">
        <v>325</v>
      </c>
      <c r="I119">
        <v>1</v>
      </c>
      <c r="J119" t="b">
        <f>B119&lt;I119</f>
        <v>1</v>
      </c>
      <c r="K119" t="b">
        <f>B119=0</f>
        <v>1</v>
      </c>
      <c r="L119" s="3" t="s">
        <v>225</v>
      </c>
    </row>
    <row r="120" spans="1:12">
      <c r="A120" s="2" t="s">
        <v>218</v>
      </c>
      <c r="C120" s="3" t="s">
        <v>348</v>
      </c>
      <c r="D120">
        <v>33</v>
      </c>
      <c r="E120">
        <f>D120*B120</f>
        <v>0</v>
      </c>
      <c r="F120" t="s">
        <v>176</v>
      </c>
      <c r="G120" s="1">
        <v>45196</v>
      </c>
      <c r="H120" t="s">
        <v>325</v>
      </c>
      <c r="I120">
        <v>0</v>
      </c>
      <c r="J120" t="b">
        <f>B120&lt;I120</f>
        <v>0</v>
      </c>
      <c r="K120" t="b">
        <f>B120=0</f>
        <v>1</v>
      </c>
      <c r="L120" s="3" t="s">
        <v>270</v>
      </c>
    </row>
    <row r="121" spans="1:12">
      <c r="A121" s="2" t="s">
        <v>206</v>
      </c>
      <c r="C121" s="3" t="s">
        <v>406</v>
      </c>
      <c r="D121">
        <v>33</v>
      </c>
      <c r="E121">
        <f>D121*B121</f>
        <v>0</v>
      </c>
      <c r="F121" t="s">
        <v>176</v>
      </c>
      <c r="G121" s="1">
        <v>45196</v>
      </c>
      <c r="H121" t="s">
        <v>325</v>
      </c>
      <c r="I121">
        <v>1</v>
      </c>
      <c r="J121" t="b">
        <f>B121&lt;I121</f>
        <v>1</v>
      </c>
      <c r="K121" t="b">
        <f>B121=0</f>
        <v>1</v>
      </c>
      <c r="L121" s="3" t="s">
        <v>270</v>
      </c>
    </row>
    <row r="122" spans="1:12" ht="28.5">
      <c r="A122" s="2" t="s">
        <v>814</v>
      </c>
      <c r="C122" s="3" t="s">
        <v>407</v>
      </c>
      <c r="D122">
        <v>135.6</v>
      </c>
      <c r="E122">
        <f>D122*B122</f>
        <v>0</v>
      </c>
      <c r="F122" t="s">
        <v>176</v>
      </c>
      <c r="G122" s="1">
        <v>45196</v>
      </c>
      <c r="H122" t="s">
        <v>326</v>
      </c>
      <c r="I122">
        <v>0</v>
      </c>
      <c r="J122" t="b">
        <f>B122&lt;I122</f>
        <v>0</v>
      </c>
      <c r="K122" t="b">
        <f>B122=0</f>
        <v>1</v>
      </c>
      <c r="L122" s="3" t="s">
        <v>260</v>
      </c>
    </row>
    <row r="123" spans="1:12">
      <c r="A123" s="2" t="s">
        <v>815</v>
      </c>
      <c r="C123" s="3" t="s">
        <v>409</v>
      </c>
      <c r="D123">
        <v>51.02</v>
      </c>
      <c r="E123">
        <f>D123*B123</f>
        <v>0</v>
      </c>
      <c r="F123" t="s">
        <v>176</v>
      </c>
      <c r="G123" s="1">
        <v>45196</v>
      </c>
      <c r="H123" t="s">
        <v>326</v>
      </c>
      <c r="J123" t="b">
        <f>B123&lt;I123</f>
        <v>0</v>
      </c>
      <c r="K123" t="b">
        <f>B123=0</f>
        <v>1</v>
      </c>
      <c r="L123" s="3" t="s">
        <v>252</v>
      </c>
    </row>
    <row r="124" spans="1:12">
      <c r="A124" s="2" t="s">
        <v>144</v>
      </c>
      <c r="C124" s="3" t="s">
        <v>411</v>
      </c>
      <c r="D124">
        <v>13</v>
      </c>
      <c r="E124">
        <f>D124*B124</f>
        <v>0</v>
      </c>
      <c r="F124" t="s">
        <v>176</v>
      </c>
      <c r="G124" s="1">
        <v>45196</v>
      </c>
      <c r="H124" t="s">
        <v>325</v>
      </c>
      <c r="I124">
        <v>0</v>
      </c>
      <c r="J124" t="b">
        <f>B124&lt;I124</f>
        <v>0</v>
      </c>
      <c r="K124" t="b">
        <f>B124=0</f>
        <v>1</v>
      </c>
      <c r="L124" s="3" t="s">
        <v>268</v>
      </c>
    </row>
    <row r="125" spans="1:12">
      <c r="A125" s="2" t="s">
        <v>450</v>
      </c>
      <c r="C125" s="3" t="s">
        <v>348</v>
      </c>
      <c r="D125" s="6">
        <v>4.95</v>
      </c>
      <c r="E125">
        <f>D125*B125</f>
        <v>0</v>
      </c>
      <c r="F125" s="2" t="s">
        <v>176</v>
      </c>
      <c r="G125" s="8">
        <v>45274</v>
      </c>
      <c r="H125" s="2" t="s">
        <v>325</v>
      </c>
      <c r="I125">
        <v>1</v>
      </c>
      <c r="J125" t="b">
        <f>B125&lt;I125</f>
        <v>1</v>
      </c>
      <c r="K125" t="b">
        <f>B125=0</f>
        <v>1</v>
      </c>
      <c r="L125" s="3" t="s">
        <v>452</v>
      </c>
    </row>
    <row r="126" spans="1:12">
      <c r="A126" s="2" t="s">
        <v>817</v>
      </c>
      <c r="C126" s="3" t="s">
        <v>414</v>
      </c>
      <c r="D126">
        <v>287</v>
      </c>
      <c r="E126">
        <f>D126*B126</f>
        <v>0</v>
      </c>
      <c r="F126" t="s">
        <v>182</v>
      </c>
      <c r="G126" s="1">
        <v>45196</v>
      </c>
      <c r="H126" t="s">
        <v>326</v>
      </c>
      <c r="I126">
        <v>1</v>
      </c>
      <c r="J126" t="b">
        <f>B126&lt;I126</f>
        <v>1</v>
      </c>
      <c r="K126" t="b">
        <f>B126=0</f>
        <v>1</v>
      </c>
      <c r="L126" s="3" t="s">
        <v>511</v>
      </c>
    </row>
    <row r="127" spans="1:12">
      <c r="A127" s="2" t="s">
        <v>212</v>
      </c>
      <c r="C127" s="3" t="s">
        <v>415</v>
      </c>
      <c r="D127">
        <v>699.54</v>
      </c>
      <c r="E127">
        <f>D127*B127</f>
        <v>0</v>
      </c>
      <c r="F127" t="s">
        <v>186</v>
      </c>
      <c r="G127" s="1">
        <v>45196</v>
      </c>
      <c r="H127" t="s">
        <v>325</v>
      </c>
      <c r="I127">
        <v>0</v>
      </c>
      <c r="J127" t="b">
        <f>B127&lt;I127</f>
        <v>0</v>
      </c>
      <c r="K127" t="b">
        <f>B127=0</f>
        <v>1</v>
      </c>
      <c r="L127" s="3" t="s">
        <v>517</v>
      </c>
    </row>
    <row r="128" spans="1:12">
      <c r="A128" s="2" t="s">
        <v>208</v>
      </c>
      <c r="C128" s="3" t="s">
        <v>416</v>
      </c>
      <c r="D128">
        <v>75</v>
      </c>
      <c r="E128">
        <f>D128*B128</f>
        <v>0</v>
      </c>
      <c r="F128" t="s">
        <v>176</v>
      </c>
      <c r="G128" s="1">
        <v>45196</v>
      </c>
      <c r="H128" t="s">
        <v>326</v>
      </c>
      <c r="I128">
        <v>0</v>
      </c>
      <c r="J128" t="b">
        <f>B128&lt;I128</f>
        <v>0</v>
      </c>
      <c r="K128" t="b">
        <f>B128=0</f>
        <v>1</v>
      </c>
      <c r="L128" s="3" t="s">
        <v>275</v>
      </c>
    </row>
    <row r="129" spans="1:12" ht="28.5">
      <c r="A129" s="2" t="s">
        <v>818</v>
      </c>
      <c r="C129" s="3" t="s">
        <v>417</v>
      </c>
      <c r="D129">
        <v>80</v>
      </c>
      <c r="E129">
        <f>D129*B129</f>
        <v>0</v>
      </c>
      <c r="F129" t="s">
        <v>183</v>
      </c>
      <c r="G129" s="1">
        <v>45196</v>
      </c>
      <c r="H129" t="s">
        <v>326</v>
      </c>
      <c r="I129">
        <v>0</v>
      </c>
      <c r="J129" t="b">
        <f>B129&lt;I129</f>
        <v>0</v>
      </c>
      <c r="K129" t="b">
        <f>B129=0</f>
        <v>1</v>
      </c>
      <c r="L129" s="3" t="s">
        <v>242</v>
      </c>
    </row>
    <row r="130" spans="1:12">
      <c r="E130">
        <f>D130*B130</f>
        <v>0</v>
      </c>
      <c r="J130" t="b">
        <f>B130&lt;I130</f>
        <v>0</v>
      </c>
      <c r="K130" t="b">
        <f>B130=0</f>
        <v>1</v>
      </c>
    </row>
    <row r="131" spans="1:12">
      <c r="E131">
        <f>D131*B131</f>
        <v>0</v>
      </c>
      <c r="J131" t="b">
        <f>B131&lt;I131</f>
        <v>0</v>
      </c>
      <c r="K131" t="b">
        <f>B131=0</f>
        <v>1</v>
      </c>
    </row>
    <row r="132" spans="1:12">
      <c r="E132">
        <f>D132*B132</f>
        <v>0</v>
      </c>
      <c r="J132" t="b">
        <f>B132&lt;I132</f>
        <v>0</v>
      </c>
      <c r="K132" t="b">
        <f>B132=0</f>
        <v>1</v>
      </c>
    </row>
    <row r="133" spans="1:12">
      <c r="E133">
        <f>D133*B133</f>
        <v>0</v>
      </c>
      <c r="J133" t="b">
        <f>B133&lt;I133</f>
        <v>0</v>
      </c>
      <c r="K133" t="b">
        <f>B133=0</f>
        <v>1</v>
      </c>
    </row>
    <row r="134" spans="1:12">
      <c r="E134">
        <f>D134*B134</f>
        <v>0</v>
      </c>
      <c r="J134" t="b">
        <f>B134&lt;I134</f>
        <v>0</v>
      </c>
      <c r="K134" t="b">
        <f>B134=0</f>
        <v>1</v>
      </c>
    </row>
    <row r="135" spans="1:12">
      <c r="E135">
        <f>D135*B135</f>
        <v>0</v>
      </c>
      <c r="J135" t="b">
        <f>B135&lt;I135</f>
        <v>0</v>
      </c>
      <c r="K135" t="b">
        <f>B135=0</f>
        <v>1</v>
      </c>
    </row>
    <row r="136" spans="1:12">
      <c r="E136">
        <f>D136*B136</f>
        <v>0</v>
      </c>
      <c r="J136" t="b">
        <f>B136&lt;I136</f>
        <v>0</v>
      </c>
      <c r="K136" t="b">
        <f>B136=0</f>
        <v>1</v>
      </c>
    </row>
    <row r="137" spans="1:12">
      <c r="E137">
        <f>D137*B137</f>
        <v>0</v>
      </c>
      <c r="J137" t="b">
        <f>B137&lt;I137</f>
        <v>0</v>
      </c>
      <c r="K137" t="b">
        <f>B137=0</f>
        <v>1</v>
      </c>
    </row>
    <row r="138" spans="1:12">
      <c r="E138">
        <f>D138*B138</f>
        <v>0</v>
      </c>
      <c r="J138" t="b">
        <f>B138&lt;I138</f>
        <v>0</v>
      </c>
      <c r="K138" t="b">
        <f>B138=0</f>
        <v>1</v>
      </c>
    </row>
    <row r="139" spans="1:12">
      <c r="E139">
        <f>D139*B139</f>
        <v>0</v>
      </c>
      <c r="J139" t="b">
        <f>B139&lt;I139</f>
        <v>0</v>
      </c>
      <c r="K139" t="b">
        <f>B139=0</f>
        <v>1</v>
      </c>
    </row>
    <row r="140" spans="1:12">
      <c r="E140">
        <f>D140*B140</f>
        <v>0</v>
      </c>
      <c r="J140" t="b">
        <f>B140&lt;I140</f>
        <v>0</v>
      </c>
      <c r="K140" t="b">
        <f>B140=0</f>
        <v>1</v>
      </c>
    </row>
    <row r="141" spans="1:12">
      <c r="E141">
        <f>D141*B141</f>
        <v>0</v>
      </c>
      <c r="J141" t="b">
        <f>B141&lt;I141</f>
        <v>0</v>
      </c>
      <c r="K141" t="b">
        <f>B141=0</f>
        <v>1</v>
      </c>
    </row>
    <row r="142" spans="1:12">
      <c r="E142">
        <f>D142*B142</f>
        <v>0</v>
      </c>
      <c r="J142" t="b">
        <f>B142&lt;I142</f>
        <v>0</v>
      </c>
      <c r="K142" t="b">
        <f>B142=0</f>
        <v>1</v>
      </c>
    </row>
    <row r="143" spans="1:12">
      <c r="E143">
        <f>D143*B143</f>
        <v>0</v>
      </c>
      <c r="J143" t="b">
        <f>B143&lt;I143</f>
        <v>0</v>
      </c>
      <c r="K143" t="b">
        <f>B143=0</f>
        <v>1</v>
      </c>
    </row>
    <row r="144" spans="1:12">
      <c r="E144">
        <f>D144*B144</f>
        <v>0</v>
      </c>
      <c r="J144" t="b">
        <f>B144&lt;I144</f>
        <v>0</v>
      </c>
      <c r="K144" t="b">
        <f>B144=0</f>
        <v>1</v>
      </c>
    </row>
    <row r="145" spans="5:11">
      <c r="E145">
        <f>D145*B145</f>
        <v>0</v>
      </c>
      <c r="J145" t="b">
        <f>B145&lt;I145</f>
        <v>0</v>
      </c>
      <c r="K145" t="b">
        <f>B145=0</f>
        <v>1</v>
      </c>
    </row>
    <row r="146" spans="5:11">
      <c r="E146">
        <f>D146*B146</f>
        <v>0</v>
      </c>
      <c r="J146" t="b">
        <f>B146&lt;I146</f>
        <v>0</v>
      </c>
      <c r="K146" t="b">
        <f>B146=0</f>
        <v>1</v>
      </c>
    </row>
    <row r="147" spans="5:11">
      <c r="E147">
        <f>D147*B147</f>
        <v>0</v>
      </c>
      <c r="J147" t="b">
        <f>B147&lt;I147</f>
        <v>0</v>
      </c>
      <c r="K147" t="b">
        <f>B147=0</f>
        <v>1</v>
      </c>
    </row>
    <row r="148" spans="5:11">
      <c r="E148">
        <f>D148*B148</f>
        <v>0</v>
      </c>
      <c r="J148" t="b">
        <f>B148&lt;I148</f>
        <v>0</v>
      </c>
      <c r="K148" t="b">
        <f>B148=0</f>
        <v>1</v>
      </c>
    </row>
    <row r="149" spans="5:11">
      <c r="E149">
        <f>D149*B149</f>
        <v>0</v>
      </c>
      <c r="J149" t="b">
        <f>B149&lt;I149</f>
        <v>0</v>
      </c>
      <c r="K149" t="b">
        <f>B149=0</f>
        <v>1</v>
      </c>
    </row>
    <row r="150" spans="5:11">
      <c r="E150">
        <f>D150*B150</f>
        <v>0</v>
      </c>
    </row>
    <row r="151" spans="5:11">
      <c r="E151">
        <f>D151*B151</f>
        <v>0</v>
      </c>
    </row>
    <row r="152" spans="5:11">
      <c r="E152">
        <f>D152*B152</f>
        <v>0</v>
      </c>
    </row>
    <row r="153" spans="5:11">
      <c r="E153">
        <f>D153*B153</f>
        <v>0</v>
      </c>
    </row>
    <row r="154" spans="5:11">
      <c r="E154">
        <f>D154*B154</f>
        <v>0</v>
      </c>
    </row>
    <row r="155" spans="5:11">
      <c r="E155">
        <f>D155*B155</f>
        <v>0</v>
      </c>
    </row>
    <row r="156" spans="5:11">
      <c r="E156">
        <f>D156*B156</f>
        <v>0</v>
      </c>
    </row>
    <row r="157" spans="5:11">
      <c r="E157">
        <f>D157*B157</f>
        <v>0</v>
      </c>
    </row>
    <row r="158" spans="5:11">
      <c r="E158">
        <f>D158*B158</f>
        <v>0</v>
      </c>
    </row>
    <row r="159" spans="5:11">
      <c r="E159">
        <f>D159*B159</f>
        <v>0</v>
      </c>
    </row>
    <row r="160" spans="5:11">
      <c r="E160">
        <f>D160*B160</f>
        <v>0</v>
      </c>
    </row>
    <row r="161" spans="5:5">
      <c r="E161">
        <f>D161*B161</f>
        <v>0</v>
      </c>
    </row>
    <row r="162" spans="5:5">
      <c r="E162">
        <f>D162*B162</f>
        <v>0</v>
      </c>
    </row>
    <row r="163" spans="5:5">
      <c r="E163">
        <f>D163*B163</f>
        <v>0</v>
      </c>
    </row>
    <row r="164" spans="5:5">
      <c r="E164">
        <f>D164*B164</f>
        <v>0</v>
      </c>
    </row>
    <row r="165" spans="5:5">
      <c r="E165">
        <f>D165*B165</f>
        <v>0</v>
      </c>
    </row>
    <row r="166" spans="5:5">
      <c r="E166">
        <f>D166*B166</f>
        <v>0</v>
      </c>
    </row>
    <row r="167" spans="5:5">
      <c r="E167">
        <f>D167*B167</f>
        <v>0</v>
      </c>
    </row>
    <row r="168" spans="5:5">
      <c r="E168">
        <f>D168*B168</f>
        <v>0</v>
      </c>
    </row>
    <row r="169" spans="5:5">
      <c r="E169">
        <f>D169*B169</f>
        <v>0</v>
      </c>
    </row>
    <row r="170" spans="5:5">
      <c r="E170">
        <f>D170*B170</f>
        <v>0</v>
      </c>
    </row>
    <row r="171" spans="5:5">
      <c r="E171">
        <f>D171*B171</f>
        <v>0</v>
      </c>
    </row>
    <row r="172" spans="5:5">
      <c r="E172">
        <f>D172*B172</f>
        <v>0</v>
      </c>
    </row>
    <row r="173" spans="5:5">
      <c r="E173">
        <f>D173*B173</f>
        <v>0</v>
      </c>
    </row>
    <row r="174" spans="5:5">
      <c r="E174">
        <f>D174*B174</f>
        <v>0</v>
      </c>
    </row>
    <row r="175" spans="5:5">
      <c r="E175">
        <f>D175*B175</f>
        <v>0</v>
      </c>
    </row>
    <row r="176" spans="5:5">
      <c r="E176">
        <f>D176*B176</f>
        <v>0</v>
      </c>
    </row>
    <row r="177" spans="5:5">
      <c r="E177">
        <f>D177*B177</f>
        <v>0</v>
      </c>
    </row>
    <row r="178" spans="5:5">
      <c r="E178">
        <f>D178*B178</f>
        <v>0</v>
      </c>
    </row>
    <row r="179" spans="5:5">
      <c r="E179">
        <f>D179*B179</f>
        <v>0</v>
      </c>
    </row>
    <row r="180" spans="5:5">
      <c r="E180">
        <f>D180*B180</f>
        <v>0</v>
      </c>
    </row>
    <row r="181" spans="5:5">
      <c r="E181">
        <f>D181*B181</f>
        <v>0</v>
      </c>
    </row>
    <row r="182" spans="5:5">
      <c r="E182">
        <f>D182*B182</f>
        <v>0</v>
      </c>
    </row>
    <row r="183" spans="5:5">
      <c r="E183">
        <f>D183*B183</f>
        <v>0</v>
      </c>
    </row>
    <row r="184" spans="5:5">
      <c r="E184">
        <f>D184*B184</f>
        <v>0</v>
      </c>
    </row>
    <row r="185" spans="5:5">
      <c r="E185">
        <f>D185*B185</f>
        <v>0</v>
      </c>
    </row>
    <row r="186" spans="5:5">
      <c r="E186">
        <f>D186*B186</f>
        <v>0</v>
      </c>
    </row>
    <row r="187" spans="5:5">
      <c r="E187">
        <f>D187*B187</f>
        <v>0</v>
      </c>
    </row>
    <row r="188" spans="5:5">
      <c r="E188">
        <f>D188*B188</f>
        <v>0</v>
      </c>
    </row>
    <row r="189" spans="5:5">
      <c r="E189">
        <f>D189*B189</f>
        <v>0</v>
      </c>
    </row>
    <row r="190" spans="5:5">
      <c r="E190">
        <f>D190*B190</f>
        <v>0</v>
      </c>
    </row>
    <row r="191" spans="5:5">
      <c r="E191">
        <f>D191*B191</f>
        <v>0</v>
      </c>
    </row>
    <row r="192" spans="5:5">
      <c r="E192">
        <f>D192*B192</f>
        <v>0</v>
      </c>
    </row>
    <row r="193" spans="5:5">
      <c r="E193">
        <f>D193*B193</f>
        <v>0</v>
      </c>
    </row>
    <row r="194" spans="5:5">
      <c r="E194">
        <f>D194*B194</f>
        <v>0</v>
      </c>
    </row>
    <row r="195" spans="5:5">
      <c r="E195">
        <f>D195*B195</f>
        <v>0</v>
      </c>
    </row>
    <row r="196" spans="5:5">
      <c r="E196">
        <f>D196*B196</f>
        <v>0</v>
      </c>
    </row>
    <row r="197" spans="5:5">
      <c r="E197">
        <f>D197*B197</f>
        <v>0</v>
      </c>
    </row>
    <row r="198" spans="5:5">
      <c r="E198">
        <f>D198*B198</f>
        <v>0</v>
      </c>
    </row>
    <row r="199" spans="5:5">
      <c r="E199">
        <f>D199*B199</f>
        <v>0</v>
      </c>
    </row>
    <row r="200" spans="5:5">
      <c r="E200">
        <f>D200*B200</f>
        <v>0</v>
      </c>
    </row>
    <row r="201" spans="5:5">
      <c r="E201">
        <f>D201*B201</f>
        <v>0</v>
      </c>
    </row>
    <row r="202" spans="5:5">
      <c r="E202">
        <f>D202*B202</f>
        <v>0</v>
      </c>
    </row>
    <row r="203" spans="5:5">
      <c r="E203">
        <f>D203*B203</f>
        <v>0</v>
      </c>
    </row>
    <row r="204" spans="5:5">
      <c r="E204">
        <f>D204*B204</f>
        <v>0</v>
      </c>
    </row>
    <row r="205" spans="5:5">
      <c r="E205">
        <f>D205*B205</f>
        <v>0</v>
      </c>
    </row>
    <row r="206" spans="5:5">
      <c r="E206">
        <f>D206*B206</f>
        <v>0</v>
      </c>
    </row>
    <row r="207" spans="5:5">
      <c r="E207">
        <f>D207*B207</f>
        <v>0</v>
      </c>
    </row>
    <row r="208" spans="5:5">
      <c r="E208">
        <f>D208*B208</f>
        <v>0</v>
      </c>
    </row>
    <row r="209" spans="5:5">
      <c r="E209">
        <f>D209*B209</f>
        <v>0</v>
      </c>
    </row>
    <row r="210" spans="5:5">
      <c r="E210">
        <f>D210*B210</f>
        <v>0</v>
      </c>
    </row>
    <row r="211" spans="5:5">
      <c r="E211">
        <f>D211*B211</f>
        <v>0</v>
      </c>
    </row>
    <row r="212" spans="5:5">
      <c r="E212">
        <f>D212*B212</f>
        <v>0</v>
      </c>
    </row>
    <row r="213" spans="5:5">
      <c r="E213">
        <f>D213*B213</f>
        <v>0</v>
      </c>
    </row>
    <row r="214" spans="5:5">
      <c r="E214">
        <f>D214*B214</f>
        <v>0</v>
      </c>
    </row>
    <row r="215" spans="5:5">
      <c r="E215">
        <f>D215*B215</f>
        <v>0</v>
      </c>
    </row>
    <row r="216" spans="5:5">
      <c r="E216">
        <f>D216*B216</f>
        <v>0</v>
      </c>
    </row>
    <row r="217" spans="5:5">
      <c r="E217">
        <f>D217*B217</f>
        <v>0</v>
      </c>
    </row>
    <row r="218" spans="5:5">
      <c r="E218">
        <f>D218*B218</f>
        <v>0</v>
      </c>
    </row>
    <row r="219" spans="5:5">
      <c r="E219">
        <f>D219*B219</f>
        <v>0</v>
      </c>
    </row>
    <row r="220" spans="5:5">
      <c r="E220">
        <f>D220*B220</f>
        <v>0</v>
      </c>
    </row>
    <row r="221" spans="5:5">
      <c r="E221">
        <f>D221*B221</f>
        <v>0</v>
      </c>
    </row>
    <row r="222" spans="5:5">
      <c r="E222">
        <f>D222*B222</f>
        <v>0</v>
      </c>
    </row>
    <row r="223" spans="5:5">
      <c r="E223">
        <f>D223*B223</f>
        <v>0</v>
      </c>
    </row>
    <row r="224" spans="5:5">
      <c r="E224">
        <f>D224*B224</f>
        <v>0</v>
      </c>
    </row>
    <row r="225" spans="5:5">
      <c r="E225">
        <f>D225*B225</f>
        <v>0</v>
      </c>
    </row>
  </sheetData>
  <sortState xmlns:xlrd2="http://schemas.microsoft.com/office/spreadsheetml/2017/richdata2" ref="A2:M225">
    <sortCondition ref="B1"/>
  </sortState>
  <customSheetViews>
    <customSheetView guid="{2D7AA37D-8C06-47FC-8F44-3FA6E78D04F2}" topLeftCell="A21">
      <selection activeCell="I28" sqref="I28"/>
      <pageMargins left="0.7" right="0.7" top="0.75" bottom="0.75" header="0.3" footer="0.3"/>
      <pageSetup orientation="portrait" r:id="rId1"/>
    </customSheetView>
    <customSheetView guid="{9C8ADCBA-1E8C-4961-B877-3E192DBDFA7A}" showPageBreaks="1" topLeftCell="A37">
      <selection activeCell="A43" sqref="A43"/>
      <pageMargins left="0.7" right="0.7" top="0.75" bottom="0.75" header="0.3" footer="0.3"/>
      <pageSetup orientation="portrait" r:id="rId2"/>
    </customSheetView>
  </customSheetViews>
  <phoneticPr fontId="1" type="noConversion"/>
  <pageMargins left="0.7" right="0.7" top="0.75" bottom="0.75" header="0.3" footer="0.3"/>
  <pageSetup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M129"/>
  <sheetViews>
    <sheetView topLeftCell="A28" workbookViewId="0">
      <selection sqref="A1:M2"/>
    </sheetView>
  </sheetViews>
  <sheetFormatPr defaultRowHeight="14.25"/>
  <cols>
    <col min="1" max="1" width="19.3984375" customWidth="1"/>
    <col min="3" max="3" width="14.265625" customWidth="1"/>
    <col min="7" max="7" width="16.265625" customWidth="1"/>
  </cols>
  <sheetData>
    <row r="1" spans="1:12">
      <c r="A1" t="s">
        <v>11</v>
      </c>
      <c r="B1" t="s">
        <v>12</v>
      </c>
      <c r="C1" t="s">
        <v>309</v>
      </c>
      <c r="D1" t="s">
        <v>305</v>
      </c>
      <c r="E1" t="s">
        <v>307</v>
      </c>
      <c r="F1" t="s">
        <v>321</v>
      </c>
      <c r="G1" t="s">
        <v>13</v>
      </c>
      <c r="H1" t="s">
        <v>324</v>
      </c>
      <c r="I1" t="s">
        <v>422</v>
      </c>
      <c r="J1" t="s">
        <v>453</v>
      </c>
      <c r="K1" t="s">
        <v>454</v>
      </c>
      <c r="L1" s="4" t="s">
        <v>506</v>
      </c>
    </row>
    <row r="2" spans="1:12" ht="28.5">
      <c r="A2" s="2" t="s">
        <v>810</v>
      </c>
      <c r="B2">
        <v>12</v>
      </c>
      <c r="C2" s="3" t="s">
        <v>382</v>
      </c>
      <c r="D2">
        <v>27.1</v>
      </c>
      <c r="E2">
        <v>325.20000000000005</v>
      </c>
      <c r="F2" t="s">
        <v>178</v>
      </c>
      <c r="G2" s="1">
        <v>46073</v>
      </c>
      <c r="H2" t="s">
        <v>325</v>
      </c>
      <c r="I2">
        <v>0</v>
      </c>
      <c r="J2" t="b">
        <v>0</v>
      </c>
      <c r="K2" t="b">
        <v>0</v>
      </c>
      <c r="L2" s="4" t="s">
        <v>295</v>
      </c>
    </row>
    <row r="3" spans="1:12">
      <c r="A3" s="2"/>
      <c r="C3" s="3"/>
      <c r="G3" s="1"/>
      <c r="L3" s="4"/>
    </row>
    <row r="4" spans="1:12">
      <c r="A4" s="2"/>
      <c r="C4" s="3"/>
      <c r="G4" s="1"/>
      <c r="L4" s="4"/>
    </row>
    <row r="5" spans="1:12">
      <c r="A5" s="2"/>
      <c r="C5" s="3"/>
      <c r="G5" s="1"/>
      <c r="L5" s="4"/>
    </row>
    <row r="6" spans="1:12">
      <c r="C6" s="3"/>
      <c r="G6" s="1"/>
      <c r="L6" s="4"/>
    </row>
    <row r="7" spans="1:12">
      <c r="A7" s="2"/>
      <c r="C7" s="3"/>
      <c r="G7" s="1"/>
      <c r="L7" s="4"/>
    </row>
    <row r="8" spans="1:12">
      <c r="A8" s="2"/>
      <c r="C8" s="3"/>
      <c r="G8" s="1"/>
      <c r="L8" s="4"/>
    </row>
    <row r="9" spans="1:12">
      <c r="A9" s="2"/>
      <c r="C9" s="3"/>
      <c r="G9" s="1"/>
    </row>
    <row r="10" spans="1:12">
      <c r="A10" s="2"/>
      <c r="C10" s="3"/>
      <c r="G10" s="1"/>
      <c r="L10" s="4"/>
    </row>
    <row r="11" spans="1:12">
      <c r="A11" s="2"/>
      <c r="C11" s="3"/>
      <c r="G11" s="1"/>
      <c r="L11" s="4"/>
    </row>
    <row r="12" spans="1:12">
      <c r="A12" s="2"/>
      <c r="C12" s="2"/>
      <c r="G12" s="1"/>
    </row>
    <row r="13" spans="1:12">
      <c r="A13" s="2"/>
      <c r="C13" s="2"/>
      <c r="G13" s="1"/>
    </row>
    <row r="14" spans="1:12">
      <c r="A14" s="2"/>
      <c r="C14" s="3"/>
      <c r="G14" s="1"/>
      <c r="L14" s="4"/>
    </row>
    <row r="15" spans="1:12">
      <c r="A15" s="2"/>
      <c r="C15" s="3"/>
      <c r="G15" s="1"/>
      <c r="L15" s="4"/>
    </row>
    <row r="16" spans="1:12">
      <c r="A16" s="2"/>
      <c r="C16" s="3"/>
      <c r="G16" s="1"/>
      <c r="L16" s="4"/>
    </row>
    <row r="17" spans="1:12">
      <c r="A17" s="2"/>
      <c r="C17" s="3"/>
      <c r="G17" s="1"/>
      <c r="L17" s="4"/>
    </row>
    <row r="18" spans="1:12">
      <c r="A18" s="2"/>
      <c r="C18" s="3"/>
      <c r="G18" s="1"/>
      <c r="L18" s="4"/>
    </row>
    <row r="19" spans="1:12">
      <c r="C19" s="3"/>
      <c r="G19" s="1"/>
      <c r="L19" s="4"/>
    </row>
    <row r="20" spans="1:12">
      <c r="C20" s="3"/>
      <c r="G20" s="1"/>
      <c r="L20" s="4"/>
    </row>
    <row r="21" spans="1:12">
      <c r="C21" s="3"/>
      <c r="G21" s="1"/>
      <c r="L21" s="4"/>
    </row>
    <row r="22" spans="1:12">
      <c r="C22" s="3"/>
      <c r="G22" s="1"/>
      <c r="L22" s="4"/>
    </row>
    <row r="23" spans="1:12">
      <c r="A23" s="2"/>
      <c r="C23" s="2"/>
      <c r="G23" s="1"/>
    </row>
    <row r="24" spans="1:12">
      <c r="A24" s="2"/>
      <c r="C24" s="2"/>
      <c r="G24" s="1"/>
    </row>
    <row r="25" spans="1:12">
      <c r="A25" s="2"/>
      <c r="C25" s="3"/>
      <c r="G25" s="1"/>
      <c r="L25" s="4"/>
    </row>
    <row r="26" spans="1:12">
      <c r="A26" s="2"/>
      <c r="C26" s="3"/>
      <c r="G26" s="1"/>
      <c r="L26" s="4"/>
    </row>
    <row r="27" spans="1:12">
      <c r="C27" s="3"/>
      <c r="G27" s="1"/>
      <c r="L27" s="4"/>
    </row>
    <row r="28" spans="1:12">
      <c r="C28" s="3"/>
      <c r="G28" s="1"/>
      <c r="L28" s="4"/>
    </row>
    <row r="29" spans="1:12">
      <c r="C29" s="2"/>
      <c r="G29" s="1"/>
    </row>
    <row r="30" spans="1:12">
      <c r="C30" s="3"/>
      <c r="G30" s="1"/>
      <c r="L30" s="4"/>
    </row>
    <row r="31" spans="1:12">
      <c r="A31" s="2"/>
      <c r="C31" s="3"/>
      <c r="G31" s="1"/>
      <c r="L31" s="4"/>
    </row>
    <row r="32" spans="1:12">
      <c r="A32" s="2"/>
      <c r="C32" s="3"/>
      <c r="G32" s="1"/>
      <c r="L32" s="4"/>
    </row>
    <row r="33" spans="1:12">
      <c r="A33" s="2"/>
      <c r="C33" s="3"/>
      <c r="G33" s="1"/>
      <c r="L33" s="4"/>
    </row>
    <row r="34" spans="1:12">
      <c r="A34" s="2"/>
      <c r="C34" s="3"/>
      <c r="G34" s="1"/>
      <c r="L34" s="4"/>
    </row>
    <row r="35" spans="1:12">
      <c r="A35" s="2"/>
      <c r="C35" s="3"/>
      <c r="G35" s="1"/>
      <c r="L35" s="4"/>
    </row>
    <row r="36" spans="1:12">
      <c r="A36" s="2"/>
      <c r="C36" s="3"/>
      <c r="G36" s="1"/>
      <c r="L36" s="4"/>
    </row>
    <row r="37" spans="1:12">
      <c r="A37" s="2"/>
      <c r="C37" s="2"/>
      <c r="G37" s="1"/>
    </row>
    <row r="38" spans="1:12">
      <c r="A38" s="2"/>
      <c r="C38" s="3"/>
      <c r="G38" s="1"/>
      <c r="L38" s="4"/>
    </row>
    <row r="39" spans="1:12">
      <c r="A39" s="2"/>
      <c r="C39" s="2"/>
      <c r="G39" s="1"/>
    </row>
    <row r="40" spans="1:12">
      <c r="A40" s="2"/>
      <c r="C40" s="3"/>
      <c r="G40" s="1"/>
      <c r="L40" s="4"/>
    </row>
    <row r="41" spans="1:12">
      <c r="A41" s="2"/>
      <c r="C41" s="31"/>
      <c r="G41" s="1"/>
      <c r="L41" s="4"/>
    </row>
    <row r="42" spans="1:12">
      <c r="A42" s="2"/>
      <c r="C42" s="3"/>
      <c r="G42" s="1"/>
      <c r="L42" s="4"/>
    </row>
    <row r="43" spans="1:12">
      <c r="A43" s="2"/>
      <c r="C43" s="3"/>
      <c r="G43" s="1"/>
      <c r="L43" s="4"/>
    </row>
    <row r="44" spans="1:12">
      <c r="A44" s="2"/>
      <c r="C44" s="3"/>
      <c r="G44" s="1"/>
      <c r="L44" s="4"/>
    </row>
    <row r="45" spans="1:12">
      <c r="A45" s="2"/>
      <c r="C45" s="2"/>
      <c r="G45" s="1"/>
    </row>
    <row r="46" spans="1:12">
      <c r="A46" s="2"/>
      <c r="C46" s="3"/>
      <c r="G46" s="1"/>
      <c r="L46" s="4"/>
    </row>
    <row r="47" spans="1:12">
      <c r="C47" s="2"/>
      <c r="G47" s="1"/>
    </row>
    <row r="48" spans="1:12">
      <c r="C48" s="3"/>
      <c r="G48" s="1"/>
      <c r="L48" s="4"/>
    </row>
    <row r="49" spans="1:12">
      <c r="C49" s="2"/>
      <c r="G49" s="1"/>
    </row>
    <row r="50" spans="1:12">
      <c r="C50" s="2"/>
      <c r="G50" s="1"/>
    </row>
    <row r="51" spans="1:12">
      <c r="C51" s="2"/>
      <c r="G51" s="1"/>
    </row>
    <row r="52" spans="1:12">
      <c r="C52" s="2"/>
      <c r="G52" s="1"/>
    </row>
    <row r="53" spans="1:12">
      <c r="A53" s="2"/>
      <c r="C53" s="3"/>
      <c r="G53" s="1"/>
      <c r="L53" s="4"/>
    </row>
    <row r="54" spans="1:12">
      <c r="A54" s="2"/>
      <c r="C54" s="3"/>
      <c r="G54" s="1"/>
      <c r="L54" s="4"/>
    </row>
    <row r="55" spans="1:12">
      <c r="A55" s="2"/>
      <c r="C55" s="3"/>
      <c r="G55" s="1"/>
      <c r="L55" s="4"/>
    </row>
    <row r="56" spans="1:12">
      <c r="A56" s="2"/>
      <c r="C56" s="3"/>
      <c r="G56" s="1"/>
      <c r="L56" s="4"/>
    </row>
    <row r="57" spans="1:12">
      <c r="A57" s="2"/>
      <c r="C57" s="3"/>
      <c r="G57" s="1"/>
      <c r="L57" s="4"/>
    </row>
    <row r="58" spans="1:12">
      <c r="A58" s="2"/>
      <c r="C58" s="3"/>
      <c r="G58" s="1"/>
      <c r="L58" s="4"/>
    </row>
    <row r="59" spans="1:12">
      <c r="A59" s="2"/>
      <c r="C59" s="3"/>
      <c r="G59" s="1"/>
      <c r="L59" s="4"/>
    </row>
    <row r="60" spans="1:12">
      <c r="A60" s="2"/>
      <c r="C60" s="3"/>
      <c r="G60" s="1"/>
      <c r="L60" s="4"/>
    </row>
    <row r="61" spans="1:12">
      <c r="A61" s="2"/>
      <c r="C61" s="3"/>
      <c r="G61" s="1"/>
      <c r="L61" s="4"/>
    </row>
    <row r="62" spans="1:12">
      <c r="A62" s="2"/>
      <c r="C62" s="3"/>
      <c r="G62" s="1"/>
    </row>
    <row r="63" spans="1:12">
      <c r="A63" s="2"/>
      <c r="C63" s="2"/>
      <c r="G63" s="1"/>
      <c r="L63" s="4"/>
    </row>
    <row r="64" spans="1:12">
      <c r="A64" s="2"/>
      <c r="C64" s="3"/>
      <c r="G64" s="1"/>
      <c r="L64" s="4"/>
    </row>
    <row r="65" spans="1:12">
      <c r="A65" s="2"/>
      <c r="C65" s="3"/>
      <c r="G65" s="1"/>
      <c r="L65" s="4"/>
    </row>
    <row r="66" spans="1:12">
      <c r="A66" s="2"/>
      <c r="C66" s="2"/>
      <c r="G66" s="1"/>
    </row>
    <row r="67" spans="1:12">
      <c r="A67" s="2"/>
      <c r="C67" s="3"/>
      <c r="G67" s="1"/>
      <c r="L67" s="4"/>
    </row>
    <row r="68" spans="1:12">
      <c r="A68" s="2"/>
      <c r="C68" s="2"/>
      <c r="G68" s="1"/>
    </row>
    <row r="69" spans="1:12">
      <c r="A69" s="2"/>
      <c r="C69" s="3"/>
      <c r="G69" s="1"/>
      <c r="L69" s="4"/>
    </row>
    <row r="70" spans="1:12">
      <c r="A70" s="2"/>
      <c r="C70" s="3"/>
      <c r="G70" s="1"/>
      <c r="L70" s="4"/>
    </row>
    <row r="71" spans="1:12">
      <c r="A71" s="2"/>
      <c r="C71" s="3"/>
      <c r="G71" s="1"/>
      <c r="L71" s="4"/>
    </row>
    <row r="72" spans="1:12">
      <c r="A72" s="2"/>
      <c r="C72" s="3"/>
      <c r="G72" s="1"/>
      <c r="L72" s="4"/>
    </row>
    <row r="73" spans="1:12">
      <c r="A73" s="2"/>
      <c r="C73" s="2"/>
      <c r="G73" s="1"/>
    </row>
    <row r="74" spans="1:12">
      <c r="A74" s="2"/>
      <c r="C74" s="3"/>
      <c r="G74" s="1"/>
      <c r="L74" s="4"/>
    </row>
    <row r="75" spans="1:12">
      <c r="A75" s="2"/>
      <c r="C75" s="3"/>
      <c r="G75" s="1"/>
      <c r="L75" s="4"/>
    </row>
    <row r="76" spans="1:12">
      <c r="A76" s="2"/>
      <c r="C76" s="3"/>
      <c r="G76" s="1"/>
      <c r="L76" s="4"/>
    </row>
    <row r="77" spans="1:12">
      <c r="C77" s="3"/>
      <c r="G77" s="24"/>
      <c r="L77" s="4"/>
    </row>
    <row r="78" spans="1:12">
      <c r="A78" s="2"/>
      <c r="C78" s="3"/>
      <c r="G78" s="1"/>
      <c r="L78" s="4"/>
    </row>
    <row r="79" spans="1:12">
      <c r="A79" s="2"/>
      <c r="C79" s="3"/>
      <c r="G79" s="1"/>
      <c r="L79" s="4"/>
    </row>
    <row r="80" spans="1:12">
      <c r="A80" s="2"/>
      <c r="C80" s="3"/>
      <c r="G80" s="1"/>
      <c r="L80" s="4"/>
    </row>
    <row r="81" spans="1:13">
      <c r="A81" s="2"/>
      <c r="C81" s="3"/>
      <c r="G81" s="1"/>
      <c r="L81" s="4"/>
    </row>
    <row r="82" spans="1:13">
      <c r="C82" s="3"/>
      <c r="G82" s="1"/>
      <c r="L82" s="4"/>
    </row>
    <row r="83" spans="1:13">
      <c r="A83" s="2"/>
      <c r="C83" s="3"/>
      <c r="G83" s="1"/>
      <c r="L83" s="4"/>
    </row>
    <row r="84" spans="1:13">
      <c r="A84" s="2"/>
      <c r="C84" s="2"/>
      <c r="G84" s="1"/>
    </row>
    <row r="85" spans="1:13">
      <c r="A85" s="2"/>
      <c r="C85" s="3"/>
      <c r="G85" s="4"/>
      <c r="L85" s="4"/>
    </row>
    <row r="86" spans="1:13">
      <c r="A86" s="2"/>
      <c r="C86" s="3"/>
      <c r="G86" s="1"/>
      <c r="L86" s="4"/>
    </row>
    <row r="87" spans="1:13">
      <c r="A87" s="2"/>
      <c r="C87" s="3"/>
      <c r="G87" s="1"/>
      <c r="L87" s="4"/>
    </row>
    <row r="88" spans="1:13">
      <c r="A88" s="2"/>
      <c r="C88" s="3"/>
      <c r="G88" s="1"/>
      <c r="L88" s="4"/>
    </row>
    <row r="89" spans="1:13">
      <c r="A89" s="2"/>
      <c r="C89" s="2"/>
      <c r="G89" s="1"/>
    </row>
    <row r="90" spans="1:13">
      <c r="A90" s="2"/>
      <c r="C90" s="3"/>
      <c r="G90" s="1"/>
    </row>
    <row r="91" spans="1:13">
      <c r="A91" s="2"/>
      <c r="C91" s="3"/>
      <c r="G91" s="1"/>
      <c r="L91" s="4"/>
    </row>
    <row r="92" spans="1:13">
      <c r="C92" s="4"/>
      <c r="G92" s="1"/>
      <c r="L92" s="4"/>
    </row>
    <row r="93" spans="1:13">
      <c r="C93" s="4"/>
      <c r="G93" s="1"/>
      <c r="L93" s="4"/>
    </row>
    <row r="94" spans="1:13">
      <c r="C94" s="4"/>
      <c r="G94" s="1"/>
      <c r="L94" s="4"/>
    </row>
    <row r="95" spans="1:13">
      <c r="C95" s="4"/>
      <c r="G95" s="1"/>
      <c r="L95" s="4"/>
    </row>
    <row r="96" spans="1:13">
      <c r="C96" s="4"/>
      <c r="G96" s="1"/>
      <c r="L96" s="4"/>
      <c r="M96" s="4"/>
    </row>
    <row r="97" spans="3:13">
      <c r="C97" s="4"/>
      <c r="G97" s="1"/>
      <c r="L97" s="4"/>
    </row>
    <row r="98" spans="3:13">
      <c r="C98" s="4"/>
      <c r="G98" s="1"/>
      <c r="L98" s="4"/>
    </row>
    <row r="99" spans="3:13">
      <c r="C99" s="4"/>
      <c r="G99" s="1"/>
      <c r="L99" s="4"/>
    </row>
    <row r="100" spans="3:13">
      <c r="C100" s="4"/>
      <c r="G100" s="1"/>
      <c r="L100" s="4"/>
    </row>
    <row r="101" spans="3:13">
      <c r="C101" s="4"/>
      <c r="G101" s="1"/>
      <c r="L101" s="4"/>
    </row>
    <row r="102" spans="3:13">
      <c r="C102" s="4"/>
      <c r="G102" s="1"/>
      <c r="L102" s="4"/>
    </row>
    <row r="103" spans="3:13">
      <c r="C103" s="4"/>
      <c r="G103" s="1"/>
      <c r="L103" s="4"/>
      <c r="M103" s="4"/>
    </row>
    <row r="104" spans="3:13">
      <c r="C104" s="4"/>
      <c r="G104" s="1"/>
      <c r="L104" s="4"/>
    </row>
    <row r="105" spans="3:13">
      <c r="C105" s="4"/>
      <c r="G105" s="1"/>
      <c r="L105" s="4"/>
    </row>
    <row r="106" spans="3:13">
      <c r="C106" s="4"/>
      <c r="G106" s="1"/>
      <c r="L106" s="4"/>
    </row>
    <row r="107" spans="3:13">
      <c r="C107" s="4"/>
      <c r="G107" s="1"/>
      <c r="L107" s="4"/>
    </row>
    <row r="108" spans="3:13">
      <c r="C108" s="4"/>
      <c r="G108" s="1"/>
      <c r="L108" s="4"/>
    </row>
    <row r="109" spans="3:13">
      <c r="C109" s="4"/>
      <c r="G109" s="1"/>
      <c r="L109" s="4"/>
    </row>
    <row r="110" spans="3:13">
      <c r="C110" s="4"/>
      <c r="G110" s="1"/>
      <c r="L110" s="4"/>
    </row>
    <row r="111" spans="3:13">
      <c r="C111" s="4"/>
      <c r="G111" s="1"/>
      <c r="L111" s="4"/>
    </row>
    <row r="112" spans="3:13">
      <c r="C112" s="4"/>
      <c r="G112" s="1"/>
      <c r="L112" s="4"/>
    </row>
    <row r="113" spans="3:12">
      <c r="C113" s="4"/>
      <c r="G113" s="1"/>
      <c r="L113" s="4"/>
    </row>
    <row r="114" spans="3:12">
      <c r="C114" s="4"/>
      <c r="G114" s="1"/>
      <c r="L114" s="4"/>
    </row>
    <row r="115" spans="3:12">
      <c r="C115" s="4"/>
      <c r="G115" s="1"/>
      <c r="L115" s="4"/>
    </row>
    <row r="116" spans="3:12">
      <c r="C116" s="4"/>
      <c r="G116" s="1"/>
      <c r="L116" s="4"/>
    </row>
    <row r="117" spans="3:12">
      <c r="C117" s="4"/>
      <c r="G117" s="1"/>
      <c r="L117" s="4"/>
    </row>
    <row r="118" spans="3:12">
      <c r="C118" s="4"/>
      <c r="G118" s="1"/>
      <c r="L118" s="4"/>
    </row>
    <row r="119" spans="3:12">
      <c r="C119" s="4"/>
      <c r="G119" s="1"/>
      <c r="L119" s="4"/>
    </row>
    <row r="120" spans="3:12">
      <c r="C120" s="4"/>
      <c r="G120" s="1"/>
      <c r="L120" s="4"/>
    </row>
    <row r="121" spans="3:12">
      <c r="C121" s="4"/>
      <c r="G121" s="1"/>
      <c r="L121" s="4"/>
    </row>
    <row r="122" spans="3:12">
      <c r="C122" s="4"/>
      <c r="G122" s="1"/>
      <c r="L122" s="4"/>
    </row>
    <row r="123" spans="3:12">
      <c r="C123" s="4"/>
      <c r="G123" s="1"/>
      <c r="L123" s="4"/>
    </row>
    <row r="124" spans="3:12">
      <c r="C124" s="4"/>
      <c r="G124" s="1"/>
      <c r="L124" s="4"/>
    </row>
    <row r="125" spans="3:12">
      <c r="C125" s="4"/>
      <c r="G125" s="1"/>
      <c r="L125" s="4"/>
    </row>
    <row r="126" spans="3:12">
      <c r="C126" s="4"/>
      <c r="G126" s="1"/>
      <c r="L126" s="4"/>
    </row>
    <row r="127" spans="3:12">
      <c r="C127" s="4"/>
      <c r="G127" s="1"/>
      <c r="L127" s="4"/>
    </row>
    <row r="128" spans="3:12">
      <c r="C128" s="4"/>
      <c r="G128" s="1"/>
      <c r="L128" s="4"/>
    </row>
    <row r="129" spans="3:12">
      <c r="C129" s="4"/>
      <c r="G129" s="1"/>
      <c r="L129" s="4"/>
    </row>
  </sheetData>
  <customSheetViews>
    <customSheetView guid="{2D7AA37D-8C06-47FC-8F44-3FA6E78D04F2}" state="hidden">
      <selection sqref="A1:M2"/>
      <pageMargins left="0.7" right="0.7" top="0.75" bottom="0.75" header="0.3" footer="0.3"/>
      <pageSetup orientation="portrait" r:id="rId1"/>
    </customSheetView>
    <customSheetView guid="{9C8ADCBA-1E8C-4961-B877-3E192DBDFA7A}" showPageBreaks="1">
      <selection sqref="A1:M2"/>
      <pageMargins left="0.7" right="0.7" top="0.75" bottom="0.75" header="0.3" footer="0.3"/>
      <pageSetup orientation="portrait" r:id="rId2"/>
    </customSheetView>
  </customSheetViews>
  <phoneticPr fontId="1" type="noConversion"/>
  <pageMargins left="0.7" right="0.7" top="0.75" bottom="0.75" header="0.3" footer="0.3"/>
  <pageSetup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L44"/>
  <sheetViews>
    <sheetView workbookViewId="0">
      <selection sqref="A1:F9"/>
    </sheetView>
  </sheetViews>
  <sheetFormatPr defaultRowHeight="14.25"/>
  <sheetData>
    <row r="1" spans="1:12">
      <c r="A1" t="s">
        <v>9</v>
      </c>
      <c r="B1" t="s">
        <v>4</v>
      </c>
      <c r="C1" t="s">
        <v>310</v>
      </c>
      <c r="D1" t="s">
        <v>311</v>
      </c>
      <c r="E1" t="s">
        <v>312</v>
      </c>
      <c r="F1" t="s">
        <v>530</v>
      </c>
      <c r="L1" s="4"/>
    </row>
    <row r="2" spans="1:12">
      <c r="A2">
        <v>498</v>
      </c>
      <c r="B2" t="s">
        <v>803</v>
      </c>
      <c r="C2">
        <v>15</v>
      </c>
      <c r="D2" s="1">
        <v>46042</v>
      </c>
      <c r="E2">
        <v>53.95</v>
      </c>
      <c r="F2">
        <v>809.25</v>
      </c>
      <c r="G2" s="1"/>
      <c r="L2" s="4"/>
    </row>
    <row r="3" spans="1:12">
      <c r="A3">
        <v>499</v>
      </c>
      <c r="B3" t="s">
        <v>840</v>
      </c>
      <c r="C3">
        <v>1</v>
      </c>
      <c r="D3" s="1">
        <v>46043</v>
      </c>
      <c r="E3">
        <v>27.2</v>
      </c>
      <c r="F3">
        <v>27.2</v>
      </c>
      <c r="G3" s="1"/>
      <c r="L3" s="4"/>
    </row>
    <row r="4" spans="1:12">
      <c r="A4">
        <v>500</v>
      </c>
      <c r="B4" t="s">
        <v>471</v>
      </c>
      <c r="C4">
        <v>1</v>
      </c>
      <c r="D4" s="1">
        <v>46044</v>
      </c>
      <c r="E4">
        <v>316.44</v>
      </c>
      <c r="F4">
        <v>316.44</v>
      </c>
      <c r="G4" s="1"/>
      <c r="L4" s="4"/>
    </row>
    <row r="5" spans="1:12">
      <c r="A5">
        <v>502</v>
      </c>
      <c r="B5" t="s">
        <v>466</v>
      </c>
      <c r="C5">
        <v>1</v>
      </c>
      <c r="D5" s="1">
        <v>46055</v>
      </c>
      <c r="E5">
        <v>390</v>
      </c>
      <c r="F5">
        <v>390</v>
      </c>
      <c r="G5" s="1"/>
      <c r="L5" s="4"/>
    </row>
    <row r="6" spans="1:12">
      <c r="A6">
        <v>503</v>
      </c>
      <c r="B6" t="s">
        <v>469</v>
      </c>
      <c r="C6">
        <v>15</v>
      </c>
      <c r="D6" s="1">
        <v>46066</v>
      </c>
      <c r="E6">
        <v>7.95</v>
      </c>
      <c r="F6">
        <v>119.25</v>
      </c>
      <c r="G6" s="1"/>
      <c r="L6" s="4"/>
    </row>
    <row r="7" spans="1:12">
      <c r="A7">
        <v>504</v>
      </c>
      <c r="B7" t="s">
        <v>468</v>
      </c>
      <c r="C7">
        <v>20</v>
      </c>
      <c r="D7" s="1">
        <v>46066</v>
      </c>
      <c r="E7">
        <v>7.95</v>
      </c>
      <c r="F7">
        <v>159</v>
      </c>
      <c r="G7" s="1"/>
      <c r="L7" s="4"/>
    </row>
    <row r="8" spans="1:12">
      <c r="A8">
        <v>505</v>
      </c>
      <c r="B8" t="s">
        <v>821</v>
      </c>
      <c r="C8">
        <v>1</v>
      </c>
      <c r="D8" s="1">
        <v>46070</v>
      </c>
      <c r="E8">
        <v>119</v>
      </c>
      <c r="F8">
        <v>119</v>
      </c>
      <c r="G8" s="1"/>
      <c r="L8" s="4"/>
    </row>
    <row r="9" spans="1:12">
      <c r="A9">
        <v>506</v>
      </c>
      <c r="B9" t="s">
        <v>803</v>
      </c>
      <c r="C9">
        <v>15</v>
      </c>
      <c r="D9" s="1">
        <v>46072</v>
      </c>
      <c r="E9">
        <v>53.95</v>
      </c>
      <c r="F9">
        <v>809.25</v>
      </c>
      <c r="G9" s="1"/>
      <c r="L9" s="4"/>
    </row>
    <row r="10" spans="1:12">
      <c r="D10" s="1"/>
      <c r="G10" s="1"/>
      <c r="L10" s="4"/>
    </row>
    <row r="11" spans="1:12">
      <c r="D11" s="1"/>
      <c r="G11" s="1"/>
      <c r="L11" s="4"/>
    </row>
    <row r="12" spans="1:12">
      <c r="D12" s="1"/>
      <c r="G12" s="1"/>
      <c r="L12" s="4"/>
    </row>
    <row r="13" spans="1:12">
      <c r="D13" s="1"/>
      <c r="G13" s="1"/>
      <c r="L13" s="4"/>
    </row>
    <row r="14" spans="1:12">
      <c r="D14" s="1"/>
      <c r="G14" s="1"/>
      <c r="L14" s="4"/>
    </row>
    <row r="15" spans="1:12">
      <c r="D15" s="1"/>
      <c r="G15" s="1"/>
      <c r="L15" s="4"/>
    </row>
    <row r="16" spans="1:12">
      <c r="D16" s="1"/>
      <c r="G16" s="1"/>
      <c r="L16" s="4"/>
    </row>
    <row r="17" spans="4:12">
      <c r="D17" s="1"/>
      <c r="G17" s="1"/>
      <c r="L17" s="4"/>
    </row>
    <row r="18" spans="4:12">
      <c r="D18" s="1"/>
      <c r="G18" s="1"/>
      <c r="L18" s="4"/>
    </row>
    <row r="19" spans="4:12">
      <c r="D19" s="1"/>
      <c r="G19" s="1"/>
      <c r="L19" s="4"/>
    </row>
    <row r="20" spans="4:12">
      <c r="D20" s="1"/>
      <c r="G20" s="1"/>
      <c r="L20" s="4"/>
    </row>
    <row r="21" spans="4:12">
      <c r="D21" s="1"/>
      <c r="G21" s="1"/>
      <c r="L21" s="4"/>
    </row>
    <row r="22" spans="4:12">
      <c r="D22" s="1"/>
      <c r="G22" s="1"/>
      <c r="L22" s="4"/>
    </row>
    <row r="23" spans="4:12">
      <c r="D23" s="1"/>
      <c r="G23" s="1"/>
      <c r="L23" s="4"/>
    </row>
    <row r="24" spans="4:12">
      <c r="D24" s="1"/>
      <c r="G24" s="1"/>
      <c r="L24" s="4"/>
    </row>
    <row r="25" spans="4:12">
      <c r="D25" s="1"/>
      <c r="G25" s="1"/>
      <c r="L25" s="4"/>
    </row>
    <row r="26" spans="4:12">
      <c r="D26" s="1"/>
      <c r="G26" s="1"/>
      <c r="L26" s="4"/>
    </row>
    <row r="27" spans="4:12">
      <c r="D27" s="1"/>
      <c r="G27" s="1"/>
      <c r="L27" s="4"/>
    </row>
    <row r="28" spans="4:12">
      <c r="D28" s="1"/>
    </row>
    <row r="29" spans="4:12">
      <c r="D29" s="1"/>
    </row>
    <row r="30" spans="4:12">
      <c r="D30" s="1"/>
    </row>
    <row r="31" spans="4:12">
      <c r="D31" s="1"/>
    </row>
    <row r="32" spans="4:12">
      <c r="D32" s="1"/>
    </row>
    <row r="33" spans="4:4">
      <c r="D33" s="1"/>
    </row>
    <row r="34" spans="4:4">
      <c r="D34" s="1"/>
    </row>
    <row r="35" spans="4:4">
      <c r="D35" s="1"/>
    </row>
    <row r="36" spans="4:4">
      <c r="D36" s="1"/>
    </row>
    <row r="37" spans="4:4">
      <c r="D37" s="1"/>
    </row>
    <row r="38" spans="4:4">
      <c r="D38" s="1"/>
    </row>
    <row r="39" spans="4:4">
      <c r="D39" s="1"/>
    </row>
    <row r="40" spans="4:4">
      <c r="D40" s="1"/>
    </row>
    <row r="41" spans="4:4">
      <c r="D41" s="1"/>
    </row>
    <row r="42" spans="4:4">
      <c r="D42" s="1"/>
    </row>
    <row r="43" spans="4:4">
      <c r="D43" s="1"/>
    </row>
    <row r="44" spans="4:4">
      <c r="D44" s="1"/>
    </row>
  </sheetData>
  <customSheetViews>
    <customSheetView guid="{2D7AA37D-8C06-47FC-8F44-3FA6E78D04F2}" state="hidden">
      <selection sqref="A1:M27"/>
      <pageMargins left="0.7" right="0.7" top="0.75" bottom="0.75" header="0.3" footer="0.3"/>
      <pageSetup orientation="portrait" r:id="rId1"/>
    </customSheetView>
    <customSheetView guid="{9C8ADCBA-1E8C-4961-B877-3E192DBDFA7A}" showPageBreaks="1" state="hidden">
      <selection sqref="A1:F38"/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N295"/>
  <sheetViews>
    <sheetView workbookViewId="0">
      <selection sqref="A1:N11"/>
    </sheetView>
  </sheetViews>
  <sheetFormatPr defaultRowHeight="14.25"/>
  <cols>
    <col min="2" max="2" width="27.86328125" customWidth="1"/>
    <col min="3" max="3" width="13.73046875" customWidth="1"/>
    <col min="5" max="5" width="13.265625" customWidth="1"/>
    <col min="7" max="7" width="13.1328125" customWidth="1"/>
    <col min="8" max="8" width="13.265625" customWidth="1"/>
    <col min="10" max="10" width="14.3984375" customWidth="1"/>
  </cols>
  <sheetData>
    <row r="1" spans="1:14">
      <c r="A1" t="s">
        <v>15</v>
      </c>
      <c r="B1" t="s">
        <v>11</v>
      </c>
      <c r="C1" t="s">
        <v>16</v>
      </c>
      <c r="D1" t="s">
        <v>12</v>
      </c>
      <c r="E1" t="s">
        <v>17</v>
      </c>
      <c r="F1" t="s">
        <v>18</v>
      </c>
      <c r="G1" t="s">
        <v>19</v>
      </c>
      <c r="H1" t="s">
        <v>20</v>
      </c>
      <c r="I1" t="s">
        <v>18</v>
      </c>
      <c r="J1" t="s">
        <v>21</v>
      </c>
      <c r="K1" t="s">
        <v>18</v>
      </c>
      <c r="L1" t="s">
        <v>529</v>
      </c>
      <c r="M1" t="s">
        <v>752</v>
      </c>
      <c r="N1" s="4" t="s">
        <v>319</v>
      </c>
    </row>
    <row r="2" spans="1:14">
      <c r="A2">
        <v>300</v>
      </c>
      <c r="B2" t="s">
        <v>819</v>
      </c>
      <c r="C2" t="s">
        <v>1122</v>
      </c>
      <c r="D2">
        <v>1</v>
      </c>
      <c r="E2" s="1">
        <v>46072</v>
      </c>
      <c r="F2" t="s">
        <v>734</v>
      </c>
      <c r="G2" s="1">
        <v>46650</v>
      </c>
    </row>
    <row r="3" spans="1:14">
      <c r="A3">
        <v>299</v>
      </c>
      <c r="B3" t="s">
        <v>819</v>
      </c>
      <c r="C3" t="s">
        <v>1122</v>
      </c>
      <c r="D3">
        <v>1</v>
      </c>
      <c r="E3" s="1">
        <v>46072</v>
      </c>
      <c r="F3" t="s">
        <v>734</v>
      </c>
      <c r="G3" s="1">
        <v>46650</v>
      </c>
      <c r="L3" t="s">
        <v>1120</v>
      </c>
      <c r="M3">
        <v>5005795</v>
      </c>
      <c r="N3" t="s">
        <v>266</v>
      </c>
    </row>
    <row r="4" spans="1:14">
      <c r="A4">
        <v>220</v>
      </c>
      <c r="B4" t="s">
        <v>819</v>
      </c>
      <c r="C4" t="s">
        <v>1049</v>
      </c>
      <c r="D4">
        <v>1</v>
      </c>
      <c r="E4" s="1">
        <v>45874</v>
      </c>
      <c r="F4" t="s">
        <v>734</v>
      </c>
      <c r="G4" s="1">
        <v>46408</v>
      </c>
    </row>
    <row r="5" spans="1:14">
      <c r="A5">
        <v>219</v>
      </c>
      <c r="B5" t="s">
        <v>819</v>
      </c>
      <c r="C5" t="s">
        <v>1049</v>
      </c>
      <c r="D5">
        <v>1</v>
      </c>
      <c r="E5" s="1">
        <v>45874</v>
      </c>
      <c r="F5" t="s">
        <v>734</v>
      </c>
      <c r="G5" s="1">
        <v>46408</v>
      </c>
      <c r="H5" s="1">
        <v>46014</v>
      </c>
      <c r="I5" t="s">
        <v>731</v>
      </c>
      <c r="L5" t="s">
        <v>1048</v>
      </c>
      <c r="M5">
        <v>5005795</v>
      </c>
      <c r="N5" t="s">
        <v>266</v>
      </c>
    </row>
    <row r="6" spans="1:14">
      <c r="A6">
        <v>167</v>
      </c>
      <c r="B6" t="s">
        <v>819</v>
      </c>
      <c r="C6" t="s">
        <v>938</v>
      </c>
      <c r="D6">
        <v>1</v>
      </c>
      <c r="E6" s="1">
        <v>45707</v>
      </c>
      <c r="F6" t="s">
        <v>995</v>
      </c>
      <c r="G6" s="1">
        <v>46112</v>
      </c>
      <c r="H6" s="1">
        <v>45903</v>
      </c>
      <c r="I6" t="s">
        <v>732</v>
      </c>
      <c r="J6" s="1">
        <v>46014</v>
      </c>
      <c r="K6" t="s">
        <v>731</v>
      </c>
    </row>
    <row r="7" spans="1:14">
      <c r="A7">
        <v>166</v>
      </c>
      <c r="B7" t="s">
        <v>819</v>
      </c>
      <c r="C7" t="s">
        <v>938</v>
      </c>
      <c r="D7">
        <v>1</v>
      </c>
      <c r="E7" s="1">
        <v>45707</v>
      </c>
      <c r="F7" t="s">
        <v>995</v>
      </c>
      <c r="G7" s="1">
        <v>46112</v>
      </c>
      <c r="H7" s="1">
        <v>45789</v>
      </c>
      <c r="I7" t="s">
        <v>732</v>
      </c>
      <c r="J7" s="1">
        <v>45903</v>
      </c>
      <c r="K7" t="s">
        <v>732</v>
      </c>
      <c r="M7">
        <v>5005795</v>
      </c>
      <c r="N7" t="s">
        <v>266</v>
      </c>
    </row>
    <row r="8" spans="1:14">
      <c r="A8">
        <v>129</v>
      </c>
      <c r="B8" t="s">
        <v>819</v>
      </c>
      <c r="C8" t="s">
        <v>938</v>
      </c>
      <c r="D8">
        <v>1</v>
      </c>
      <c r="E8" s="1">
        <v>45574</v>
      </c>
      <c r="F8" t="s">
        <v>734</v>
      </c>
      <c r="G8" s="1">
        <v>46112</v>
      </c>
      <c r="H8" s="1">
        <v>45691</v>
      </c>
      <c r="I8" t="s">
        <v>992</v>
      </c>
      <c r="J8" s="1">
        <v>45782</v>
      </c>
      <c r="K8" t="s">
        <v>732</v>
      </c>
      <c r="L8" t="s">
        <v>954</v>
      </c>
      <c r="M8">
        <v>5005795</v>
      </c>
      <c r="N8" t="s">
        <v>266</v>
      </c>
    </row>
    <row r="9" spans="1:14">
      <c r="A9">
        <v>115</v>
      </c>
      <c r="B9" t="s">
        <v>819</v>
      </c>
      <c r="C9" t="s">
        <v>938</v>
      </c>
      <c r="D9">
        <v>1</v>
      </c>
      <c r="E9" s="1">
        <v>45525</v>
      </c>
      <c r="F9" t="s">
        <v>734</v>
      </c>
      <c r="G9" s="1">
        <v>46112</v>
      </c>
      <c r="H9" s="1">
        <v>45616</v>
      </c>
      <c r="I9" t="s">
        <v>731</v>
      </c>
      <c r="J9" s="1">
        <v>45691</v>
      </c>
      <c r="K9" t="s">
        <v>992</v>
      </c>
      <c r="L9" t="s">
        <v>937</v>
      </c>
      <c r="M9">
        <v>5005795</v>
      </c>
      <c r="N9" t="s">
        <v>266</v>
      </c>
    </row>
    <row r="10" spans="1:14">
      <c r="A10">
        <v>78</v>
      </c>
      <c r="B10" t="s">
        <v>819</v>
      </c>
      <c r="C10" t="s">
        <v>742</v>
      </c>
      <c r="D10">
        <v>1</v>
      </c>
      <c r="E10" s="1">
        <v>45071</v>
      </c>
      <c r="F10" t="s">
        <v>734</v>
      </c>
      <c r="G10" s="1">
        <v>45606</v>
      </c>
      <c r="H10" s="1">
        <v>45460</v>
      </c>
      <c r="I10" t="s">
        <v>731</v>
      </c>
      <c r="J10" s="1">
        <v>45610</v>
      </c>
      <c r="K10" t="s">
        <v>731</v>
      </c>
      <c r="M10">
        <v>5005795</v>
      </c>
      <c r="N10" t="s">
        <v>266</v>
      </c>
    </row>
    <row r="11" spans="1:14">
      <c r="A11">
        <v>19</v>
      </c>
      <c r="B11" t="s">
        <v>975</v>
      </c>
      <c r="C11" t="s">
        <v>742</v>
      </c>
      <c r="D11">
        <v>1</v>
      </c>
      <c r="E11" s="1">
        <v>45071</v>
      </c>
      <c r="F11" t="s">
        <v>729</v>
      </c>
      <c r="G11" s="1">
        <v>45606</v>
      </c>
      <c r="H11" s="1">
        <v>45120</v>
      </c>
      <c r="I11" t="s">
        <v>729</v>
      </c>
      <c r="J11" s="1">
        <v>45226</v>
      </c>
      <c r="K11" t="s">
        <v>729</v>
      </c>
    </row>
    <row r="12" spans="1:14">
      <c r="E12" s="1"/>
      <c r="G12" s="1"/>
      <c r="H12" s="1"/>
      <c r="J12" s="1"/>
    </row>
    <row r="13" spans="1:14">
      <c r="E13" s="1"/>
      <c r="G13" s="1"/>
      <c r="H13" s="1"/>
      <c r="J13" s="1"/>
    </row>
    <row r="14" spans="1:14">
      <c r="E14" s="1"/>
      <c r="G14" s="1"/>
      <c r="H14" s="1"/>
      <c r="J14" s="1"/>
    </row>
    <row r="15" spans="1:14">
      <c r="E15" s="1"/>
      <c r="G15" s="1"/>
      <c r="H15" s="1"/>
      <c r="J15" s="1"/>
    </row>
    <row r="16" spans="1:14">
      <c r="E16" s="1"/>
      <c r="G16" s="1"/>
      <c r="H16" s="1"/>
      <c r="J16" s="1"/>
    </row>
    <row r="17" spans="5:10">
      <c r="E17" s="1"/>
      <c r="G17" s="1"/>
      <c r="H17" s="1"/>
      <c r="J17" s="1"/>
    </row>
    <row r="18" spans="5:10">
      <c r="E18" s="1"/>
      <c r="G18" s="1"/>
      <c r="H18" s="1"/>
      <c r="J18" s="1"/>
    </row>
    <row r="19" spans="5:10">
      <c r="E19" s="1"/>
      <c r="G19" s="1"/>
      <c r="H19" s="1"/>
      <c r="J19" s="1"/>
    </row>
    <row r="20" spans="5:10">
      <c r="E20" s="1"/>
      <c r="G20" s="1"/>
    </row>
    <row r="21" spans="5:10">
      <c r="E21" s="1"/>
      <c r="G21" s="1"/>
    </row>
    <row r="22" spans="5:10">
      <c r="E22" s="1"/>
      <c r="G22" s="1"/>
      <c r="H22" s="1"/>
    </row>
    <row r="23" spans="5:10">
      <c r="E23" s="1"/>
      <c r="G23" s="1"/>
      <c r="H23" s="1"/>
      <c r="J23" s="1"/>
    </row>
    <row r="24" spans="5:10">
      <c r="E24" s="1"/>
      <c r="G24" s="1"/>
    </row>
    <row r="25" spans="5:10">
      <c r="E25" s="1"/>
      <c r="G25" s="1"/>
      <c r="H25" s="1"/>
      <c r="J25" s="1"/>
    </row>
    <row r="26" spans="5:10">
      <c r="E26" s="1"/>
      <c r="G26" s="1"/>
    </row>
    <row r="27" spans="5:10">
      <c r="E27" s="1"/>
      <c r="G27" s="1"/>
    </row>
    <row r="28" spans="5:10">
      <c r="E28" s="1"/>
      <c r="G28" s="1"/>
      <c r="H28" s="1"/>
    </row>
    <row r="29" spans="5:10">
      <c r="E29" s="1"/>
      <c r="G29" s="1"/>
      <c r="H29" s="1"/>
    </row>
    <row r="30" spans="5:10">
      <c r="E30" s="1"/>
      <c r="G30" s="1"/>
    </row>
    <row r="31" spans="5:10">
      <c r="E31" s="1"/>
      <c r="G31" s="1"/>
      <c r="H31" s="1"/>
      <c r="J31" s="1"/>
    </row>
    <row r="32" spans="5:10">
      <c r="E32" s="1"/>
      <c r="G32" s="1"/>
      <c r="H32" s="1"/>
      <c r="J32" s="1"/>
    </row>
    <row r="33" spans="5:10">
      <c r="E33" s="1"/>
      <c r="G33" s="1"/>
      <c r="H33" s="1"/>
      <c r="J33" s="1"/>
    </row>
    <row r="34" spans="5:10">
      <c r="E34" s="1"/>
      <c r="G34" s="1"/>
      <c r="H34" s="1"/>
    </row>
    <row r="35" spans="5:10">
      <c r="E35" s="1"/>
      <c r="G35" s="1"/>
      <c r="H35" s="1"/>
      <c r="J35" s="1"/>
    </row>
    <row r="36" spans="5:10">
      <c r="E36" s="1"/>
      <c r="G36" s="1"/>
    </row>
    <row r="37" spans="5:10">
      <c r="E37" s="1"/>
      <c r="G37" s="1"/>
    </row>
    <row r="38" spans="5:10">
      <c r="E38" s="1"/>
      <c r="G38" s="1"/>
    </row>
    <row r="39" spans="5:10">
      <c r="E39" s="1"/>
      <c r="G39" s="1"/>
    </row>
    <row r="40" spans="5:10">
      <c r="E40" s="1"/>
      <c r="G40" s="1"/>
    </row>
    <row r="41" spans="5:10">
      <c r="E41" s="1"/>
      <c r="G41" s="1"/>
      <c r="H41" s="1"/>
      <c r="J41" s="1"/>
    </row>
    <row r="42" spans="5:10">
      <c r="E42" s="1"/>
      <c r="G42" s="1"/>
    </row>
    <row r="43" spans="5:10">
      <c r="E43" s="1"/>
      <c r="G43" s="1"/>
    </row>
    <row r="44" spans="5:10">
      <c r="E44" s="1"/>
      <c r="G44" s="1"/>
      <c r="H44" s="1"/>
      <c r="J44" s="1"/>
    </row>
    <row r="45" spans="5:10">
      <c r="E45" s="1"/>
      <c r="G45" s="1"/>
      <c r="H45" s="1"/>
      <c r="J45" s="1"/>
    </row>
    <row r="46" spans="5:10">
      <c r="E46" s="1"/>
      <c r="G46" s="1"/>
    </row>
    <row r="47" spans="5:10">
      <c r="E47" s="1"/>
      <c r="G47" s="1"/>
      <c r="H47" s="1"/>
    </row>
    <row r="48" spans="5:10">
      <c r="E48" s="1"/>
      <c r="G48" s="1"/>
    </row>
    <row r="49" spans="5:10">
      <c r="E49" s="1"/>
      <c r="G49" s="1"/>
      <c r="H49" s="1"/>
      <c r="J49" s="1"/>
    </row>
    <row r="50" spans="5:10">
      <c r="E50" s="1"/>
      <c r="G50" s="1"/>
      <c r="H50" s="1"/>
      <c r="J50" s="1"/>
    </row>
    <row r="51" spans="5:10">
      <c r="E51" s="1"/>
      <c r="G51" s="1"/>
      <c r="H51" s="1"/>
      <c r="J51" s="1"/>
    </row>
    <row r="52" spans="5:10">
      <c r="E52" s="1"/>
      <c r="G52" s="1"/>
      <c r="H52" s="1"/>
    </row>
    <row r="53" spans="5:10">
      <c r="E53" s="1"/>
      <c r="G53" s="1"/>
      <c r="H53" s="1"/>
    </row>
    <row r="54" spans="5:10">
      <c r="E54" s="1"/>
      <c r="G54" s="1"/>
      <c r="H54" s="1"/>
      <c r="J54" s="1"/>
    </row>
    <row r="55" spans="5:10">
      <c r="E55" s="1"/>
      <c r="G55" s="1"/>
      <c r="H55" s="1"/>
      <c r="J55" s="1"/>
    </row>
    <row r="56" spans="5:10">
      <c r="E56" s="1"/>
      <c r="G56" s="1"/>
    </row>
    <row r="57" spans="5:10">
      <c r="E57" s="1"/>
      <c r="G57" s="1"/>
    </row>
    <row r="58" spans="5:10">
      <c r="E58" s="1"/>
      <c r="G58" s="1"/>
    </row>
    <row r="59" spans="5:10">
      <c r="E59" s="1"/>
      <c r="G59" s="1"/>
    </row>
    <row r="60" spans="5:10">
      <c r="E60" s="1"/>
      <c r="G60" s="1"/>
      <c r="H60" s="1"/>
    </row>
    <row r="61" spans="5:10">
      <c r="E61" s="1"/>
      <c r="G61" s="1"/>
      <c r="H61" s="1"/>
      <c r="J61" s="1"/>
    </row>
    <row r="62" spans="5:10">
      <c r="E62" s="1"/>
      <c r="G62" s="1"/>
      <c r="H62" s="1"/>
      <c r="J62" s="1"/>
    </row>
    <row r="63" spans="5:10">
      <c r="E63" s="1"/>
      <c r="G63" s="1"/>
      <c r="H63" s="1"/>
      <c r="J63" s="1"/>
    </row>
    <row r="64" spans="5:10">
      <c r="E64" s="1"/>
      <c r="G64" s="1"/>
      <c r="H64" s="1"/>
    </row>
    <row r="65" spans="5:10">
      <c r="E65" s="1"/>
      <c r="G65" s="1"/>
      <c r="H65" s="1"/>
      <c r="J65" s="1"/>
    </row>
    <row r="66" spans="5:10">
      <c r="E66" s="1"/>
      <c r="G66" s="1"/>
      <c r="H66" s="1"/>
      <c r="J66" s="1"/>
    </row>
    <row r="67" spans="5:10">
      <c r="E67" s="1"/>
      <c r="G67" s="1"/>
      <c r="H67" s="1"/>
      <c r="J67" s="1"/>
    </row>
    <row r="68" spans="5:10">
      <c r="E68" s="1"/>
      <c r="G68" s="1"/>
      <c r="H68" s="1"/>
      <c r="J68" s="1"/>
    </row>
    <row r="69" spans="5:10">
      <c r="E69" s="1"/>
      <c r="G69" s="1"/>
      <c r="H69" s="1"/>
    </row>
    <row r="70" spans="5:10">
      <c r="E70" s="1"/>
      <c r="G70" s="1"/>
      <c r="H70" s="1"/>
      <c r="J70" s="1"/>
    </row>
    <row r="71" spans="5:10">
      <c r="E71" s="1"/>
      <c r="G71" s="1"/>
      <c r="H71" s="1"/>
      <c r="J71" s="1"/>
    </row>
    <row r="72" spans="5:10">
      <c r="E72" s="1"/>
      <c r="G72" s="1"/>
      <c r="H72" s="1"/>
      <c r="J72" s="1"/>
    </row>
    <row r="73" spans="5:10">
      <c r="E73" s="1"/>
      <c r="G73" s="1"/>
      <c r="H73" s="1"/>
      <c r="J73" s="1"/>
    </row>
    <row r="74" spans="5:10">
      <c r="E74" s="1"/>
      <c r="G74" s="1"/>
      <c r="H74" s="1"/>
      <c r="J74" s="1"/>
    </row>
    <row r="75" spans="5:10">
      <c r="E75" s="1"/>
      <c r="G75" s="1"/>
      <c r="H75" s="1"/>
      <c r="J75" s="1"/>
    </row>
    <row r="76" spans="5:10">
      <c r="E76" s="1"/>
      <c r="G76" s="1"/>
    </row>
    <row r="77" spans="5:10">
      <c r="E77" s="1"/>
      <c r="G77" s="1"/>
      <c r="H77" s="1"/>
    </row>
    <row r="78" spans="5:10">
      <c r="E78" s="1"/>
      <c r="G78" s="1"/>
      <c r="H78" s="1"/>
      <c r="J78" s="1"/>
    </row>
    <row r="79" spans="5:10">
      <c r="E79" s="1"/>
      <c r="G79" s="1"/>
      <c r="H79" s="1"/>
      <c r="J79" s="1"/>
    </row>
    <row r="80" spans="5:10">
      <c r="E80" s="1"/>
      <c r="G80" s="1"/>
      <c r="H80" s="1"/>
      <c r="J80" s="1"/>
    </row>
    <row r="81" spans="5:10">
      <c r="E81" s="1"/>
      <c r="G81" s="1"/>
      <c r="H81" s="1"/>
      <c r="J81" s="1"/>
    </row>
    <row r="82" spans="5:10">
      <c r="E82" s="1"/>
      <c r="G82" s="1"/>
      <c r="H82" s="1"/>
      <c r="J82" s="1"/>
    </row>
    <row r="83" spans="5:10">
      <c r="E83" s="1"/>
      <c r="G83" s="1"/>
      <c r="H83" s="1"/>
    </row>
    <row r="84" spans="5:10">
      <c r="E84" s="1"/>
      <c r="G84" s="1"/>
      <c r="H84" s="1"/>
    </row>
    <row r="85" spans="5:10">
      <c r="E85" s="1"/>
      <c r="G85" s="1"/>
    </row>
    <row r="86" spans="5:10">
      <c r="E86" s="1"/>
      <c r="G86" s="1"/>
      <c r="H86" s="1"/>
      <c r="J86" s="1"/>
    </row>
    <row r="87" spans="5:10">
      <c r="E87" s="1"/>
      <c r="G87" s="1"/>
      <c r="H87" s="1"/>
      <c r="J87" s="1"/>
    </row>
    <row r="88" spans="5:10">
      <c r="E88" s="1"/>
      <c r="G88" s="1"/>
      <c r="H88" s="1"/>
      <c r="J88" s="1"/>
    </row>
    <row r="89" spans="5:10">
      <c r="E89" s="1"/>
      <c r="G89" s="1"/>
      <c r="H89" s="1"/>
      <c r="J89" s="1"/>
    </row>
    <row r="90" spans="5:10">
      <c r="E90" s="1"/>
      <c r="G90" s="1"/>
      <c r="H90" s="1"/>
    </row>
    <row r="91" spans="5:10">
      <c r="E91" s="1"/>
      <c r="G91" s="1"/>
      <c r="H91" s="1"/>
      <c r="J91" s="1"/>
    </row>
    <row r="92" spans="5:10">
      <c r="E92" s="1"/>
      <c r="G92" s="1"/>
    </row>
    <row r="93" spans="5:10">
      <c r="E93" s="1"/>
      <c r="G93" s="1"/>
      <c r="H93" s="1"/>
    </row>
    <row r="94" spans="5:10">
      <c r="E94" s="1"/>
      <c r="G94" s="1"/>
      <c r="H94" s="1"/>
      <c r="J94" s="1"/>
    </row>
    <row r="95" spans="5:10">
      <c r="E95" s="1"/>
      <c r="G95" s="1"/>
      <c r="H95" s="1"/>
      <c r="J95" s="1"/>
    </row>
    <row r="96" spans="5:10">
      <c r="E96" s="1"/>
      <c r="G96" s="1"/>
      <c r="H96" s="1"/>
      <c r="J96" s="1"/>
    </row>
    <row r="97" spans="5:10">
      <c r="E97" s="1"/>
      <c r="G97" s="1"/>
      <c r="H97" s="1"/>
      <c r="J97" s="1"/>
    </row>
    <row r="98" spans="5:10">
      <c r="E98" s="1"/>
      <c r="G98" s="1"/>
      <c r="H98" s="1"/>
      <c r="J98" s="1"/>
    </row>
    <row r="99" spans="5:10">
      <c r="E99" s="1"/>
      <c r="G99" s="1"/>
      <c r="H99" s="1"/>
      <c r="J99" s="1"/>
    </row>
    <row r="100" spans="5:10">
      <c r="E100" s="1"/>
      <c r="G100" s="1"/>
      <c r="H100" s="1"/>
      <c r="J100" s="1"/>
    </row>
    <row r="101" spans="5:10">
      <c r="E101" s="1"/>
      <c r="G101" s="1"/>
    </row>
    <row r="102" spans="5:10">
      <c r="E102" s="1"/>
      <c r="G102" s="1"/>
      <c r="H102" s="1"/>
    </row>
    <row r="103" spans="5:10">
      <c r="E103" s="1"/>
      <c r="G103" s="1"/>
      <c r="H103" s="1"/>
      <c r="J103" s="1"/>
    </row>
    <row r="104" spans="5:10">
      <c r="E104" s="1"/>
      <c r="G104" s="1"/>
      <c r="H104" s="1"/>
      <c r="J104" s="1"/>
    </row>
    <row r="105" spans="5:10">
      <c r="E105" s="1"/>
      <c r="G105" s="1"/>
      <c r="H105" s="1"/>
      <c r="J105" s="1"/>
    </row>
    <row r="106" spans="5:10">
      <c r="E106" s="1"/>
      <c r="G106" s="1"/>
      <c r="H106" s="1"/>
      <c r="J106" s="1"/>
    </row>
    <row r="107" spans="5:10">
      <c r="E107" s="1"/>
      <c r="G107" s="1"/>
      <c r="H107" s="1"/>
      <c r="J107" s="1"/>
    </row>
    <row r="108" spans="5:10">
      <c r="E108" s="1"/>
      <c r="G108" s="1"/>
      <c r="H108" s="1"/>
      <c r="J108" s="1"/>
    </row>
    <row r="109" spans="5:10">
      <c r="E109" s="1"/>
      <c r="G109" s="1"/>
      <c r="H109" s="1"/>
      <c r="J109" s="1"/>
    </row>
    <row r="110" spans="5:10">
      <c r="E110" s="1"/>
      <c r="G110" s="1"/>
      <c r="H110" s="1"/>
      <c r="J110" s="1"/>
    </row>
    <row r="111" spans="5:10">
      <c r="E111" s="1"/>
      <c r="G111" s="1"/>
      <c r="H111" s="1"/>
      <c r="J111" s="1"/>
    </row>
    <row r="112" spans="5:10">
      <c r="E112" s="1"/>
      <c r="G112" s="1"/>
    </row>
    <row r="113" spans="5:10">
      <c r="E113" s="1"/>
      <c r="G113" s="1"/>
      <c r="H113" s="1"/>
      <c r="J113" s="1"/>
    </row>
    <row r="114" spans="5:10">
      <c r="E114" s="1"/>
      <c r="G114" s="1"/>
      <c r="H114" s="1"/>
      <c r="J114" s="1"/>
    </row>
    <row r="115" spans="5:10">
      <c r="E115" s="1"/>
      <c r="G115" s="1"/>
    </row>
    <row r="116" spans="5:10">
      <c r="E116" s="1"/>
      <c r="G116" s="1"/>
      <c r="H116" s="1"/>
      <c r="J116" s="1"/>
    </row>
    <row r="117" spans="5:10">
      <c r="E117" s="1"/>
      <c r="G117" s="1"/>
      <c r="H117" s="1"/>
      <c r="J117" s="1"/>
    </row>
    <row r="118" spans="5:10">
      <c r="E118" s="1"/>
      <c r="G118" s="1"/>
      <c r="H118" s="1"/>
      <c r="J118" s="1"/>
    </row>
    <row r="119" spans="5:10">
      <c r="E119" s="1"/>
      <c r="G119" s="1"/>
    </row>
    <row r="120" spans="5:10">
      <c r="E120" s="1"/>
      <c r="G120" s="1"/>
    </row>
    <row r="121" spans="5:10">
      <c r="E121" s="1"/>
      <c r="G121" s="1"/>
      <c r="H121" s="1"/>
      <c r="J121" s="1"/>
    </row>
    <row r="122" spans="5:10">
      <c r="E122" s="1"/>
      <c r="G122" s="1"/>
      <c r="H122" s="1"/>
      <c r="J122" s="1"/>
    </row>
    <row r="123" spans="5:10">
      <c r="E123" s="1"/>
      <c r="G123" s="1"/>
    </row>
    <row r="124" spans="5:10">
      <c r="E124" s="1"/>
      <c r="G124" s="1"/>
    </row>
    <row r="125" spans="5:10">
      <c r="E125" s="1"/>
      <c r="G125" s="1"/>
      <c r="H125" s="1"/>
    </row>
    <row r="126" spans="5:10">
      <c r="E126" s="1"/>
      <c r="G126" s="1"/>
      <c r="H126" s="1"/>
    </row>
    <row r="127" spans="5:10">
      <c r="E127" s="1"/>
      <c r="G127" s="1"/>
      <c r="H127" s="1"/>
      <c r="J127" s="1"/>
    </row>
    <row r="128" spans="5:10">
      <c r="E128" s="1"/>
      <c r="G128" s="1"/>
      <c r="H128" s="1"/>
      <c r="J128" s="1"/>
    </row>
    <row r="129" spans="5:10">
      <c r="E129" s="1"/>
      <c r="G129" s="1"/>
      <c r="H129" s="1"/>
      <c r="J129" s="1"/>
    </row>
    <row r="130" spans="5:10">
      <c r="E130" s="1"/>
      <c r="G130" s="1"/>
      <c r="H130" s="1"/>
      <c r="J130" s="1"/>
    </row>
    <row r="131" spans="5:10">
      <c r="E131" s="1"/>
      <c r="G131" s="1"/>
      <c r="H131" s="1"/>
      <c r="J131" s="1"/>
    </row>
    <row r="132" spans="5:10">
      <c r="E132" s="1"/>
      <c r="G132" s="1"/>
      <c r="H132" s="1"/>
      <c r="J132" s="1"/>
    </row>
    <row r="133" spans="5:10">
      <c r="E133" s="1"/>
      <c r="G133" s="1"/>
      <c r="H133" s="1"/>
      <c r="J133" s="1"/>
    </row>
    <row r="134" spans="5:10">
      <c r="E134" s="1"/>
      <c r="G134" s="1"/>
      <c r="H134" s="1"/>
      <c r="J134" s="1"/>
    </row>
    <row r="135" spans="5:10">
      <c r="E135" s="1"/>
      <c r="G135" s="1"/>
      <c r="H135" s="1"/>
      <c r="J135" s="1"/>
    </row>
    <row r="136" spans="5:10">
      <c r="E136" s="1"/>
      <c r="G136" s="1"/>
      <c r="H136" s="1"/>
      <c r="J136" s="1"/>
    </row>
    <row r="137" spans="5:10">
      <c r="E137" s="1"/>
      <c r="G137" s="1"/>
      <c r="H137" s="1"/>
      <c r="J137" s="1"/>
    </row>
    <row r="138" spans="5:10">
      <c r="E138" s="1"/>
      <c r="G138" s="1"/>
      <c r="H138" s="1"/>
      <c r="J138" s="1"/>
    </row>
    <row r="139" spans="5:10">
      <c r="E139" s="1"/>
      <c r="G139" s="1"/>
      <c r="H139" s="1"/>
      <c r="J139" s="1"/>
    </row>
    <row r="140" spans="5:10">
      <c r="E140" s="1"/>
      <c r="G140" s="1"/>
      <c r="H140" s="1"/>
      <c r="J140" s="1"/>
    </row>
    <row r="141" spans="5:10">
      <c r="E141" s="1"/>
      <c r="G141" s="1"/>
      <c r="H141" s="1"/>
      <c r="J141" s="1"/>
    </row>
    <row r="142" spans="5:10">
      <c r="E142" s="1"/>
      <c r="G142" s="1"/>
    </row>
    <row r="143" spans="5:10">
      <c r="E143" s="1"/>
      <c r="G143" s="1"/>
      <c r="H143" s="1"/>
    </row>
    <row r="144" spans="5:10">
      <c r="E144" s="1"/>
      <c r="G144" s="1"/>
      <c r="H144" s="1"/>
    </row>
    <row r="145" spans="5:10">
      <c r="E145" s="1"/>
      <c r="G145" s="1"/>
      <c r="H145" s="1"/>
    </row>
    <row r="146" spans="5:10">
      <c r="E146" s="1"/>
      <c r="G146" s="1"/>
      <c r="H146" s="1"/>
      <c r="J146" s="1"/>
    </row>
    <row r="147" spans="5:10">
      <c r="E147" s="1"/>
      <c r="G147" s="1"/>
      <c r="H147" s="1"/>
      <c r="J147" s="1"/>
    </row>
    <row r="148" spans="5:10">
      <c r="E148" s="1"/>
      <c r="G148" s="1"/>
      <c r="H148" s="1"/>
    </row>
    <row r="149" spans="5:10">
      <c r="E149" s="1"/>
      <c r="G149" s="1"/>
      <c r="H149" s="1"/>
      <c r="J149" s="1"/>
    </row>
    <row r="150" spans="5:10">
      <c r="E150" s="1"/>
      <c r="G150" s="1"/>
      <c r="H150" s="1"/>
      <c r="J150" s="1"/>
    </row>
    <row r="151" spans="5:10">
      <c r="E151" s="1"/>
      <c r="G151" s="1"/>
      <c r="H151" s="1"/>
      <c r="J151" s="1"/>
    </row>
    <row r="152" spans="5:10">
      <c r="E152" s="1"/>
      <c r="G152" s="1"/>
      <c r="H152" s="1"/>
      <c r="J152" s="1"/>
    </row>
    <row r="153" spans="5:10">
      <c r="E153" s="1"/>
      <c r="G153" s="1"/>
      <c r="H153" s="1"/>
      <c r="J153" s="1"/>
    </row>
    <row r="154" spans="5:10">
      <c r="E154" s="1"/>
      <c r="G154" s="1"/>
      <c r="H154" s="1"/>
      <c r="J154" s="1"/>
    </row>
    <row r="155" spans="5:10">
      <c r="E155" s="1"/>
      <c r="G155" s="1"/>
      <c r="H155" s="1"/>
      <c r="J155" s="1"/>
    </row>
    <row r="156" spans="5:10">
      <c r="E156" s="1"/>
      <c r="G156" s="1"/>
      <c r="H156" s="1"/>
      <c r="J156" s="1"/>
    </row>
    <row r="157" spans="5:10">
      <c r="E157" s="1"/>
      <c r="G157" s="1"/>
      <c r="H157" s="1"/>
      <c r="J157" s="1"/>
    </row>
    <row r="158" spans="5:10">
      <c r="E158" s="1"/>
      <c r="G158" s="1"/>
      <c r="H158" s="1"/>
    </row>
    <row r="159" spans="5:10">
      <c r="E159" s="1"/>
      <c r="G159" s="1"/>
    </row>
    <row r="160" spans="5:10">
      <c r="E160" s="1"/>
      <c r="G160" s="1"/>
    </row>
    <row r="161" spans="5:10">
      <c r="E161" s="1"/>
      <c r="G161" s="1"/>
    </row>
    <row r="162" spans="5:10">
      <c r="E162" s="1"/>
      <c r="G162" s="1"/>
    </row>
    <row r="163" spans="5:10">
      <c r="E163" s="1"/>
      <c r="G163" s="1"/>
      <c r="H163" s="1"/>
      <c r="J163" s="1"/>
    </row>
    <row r="164" spans="5:10">
      <c r="E164" s="1"/>
      <c r="G164" s="1"/>
    </row>
    <row r="165" spans="5:10">
      <c r="E165" s="1"/>
      <c r="G165" s="1"/>
    </row>
    <row r="166" spans="5:10">
      <c r="E166" s="1"/>
      <c r="G166" s="1"/>
      <c r="H166" s="1"/>
    </row>
    <row r="167" spans="5:10">
      <c r="E167" s="1"/>
      <c r="G167" s="1"/>
      <c r="H167" s="1"/>
      <c r="J167" s="1"/>
    </row>
    <row r="168" spans="5:10">
      <c r="E168" s="1"/>
      <c r="G168" s="1"/>
      <c r="H168" s="1"/>
      <c r="J168" s="1"/>
    </row>
    <row r="169" spans="5:10">
      <c r="E169" s="1"/>
      <c r="G169" s="1"/>
      <c r="H169" s="1"/>
      <c r="J169" s="1"/>
    </row>
    <row r="170" spans="5:10">
      <c r="E170" s="1"/>
      <c r="G170" s="1"/>
      <c r="H170" s="1"/>
      <c r="J170" s="1"/>
    </row>
    <row r="171" spans="5:10">
      <c r="E171" s="1"/>
      <c r="G171" s="1"/>
      <c r="H171" s="1"/>
      <c r="J171" s="1"/>
    </row>
    <row r="172" spans="5:10">
      <c r="E172" s="1"/>
      <c r="G172" s="1"/>
      <c r="H172" s="1"/>
      <c r="J172" s="1"/>
    </row>
    <row r="173" spans="5:10">
      <c r="E173" s="1"/>
      <c r="G173" s="1"/>
      <c r="H173" s="1"/>
    </row>
    <row r="174" spans="5:10">
      <c r="E174" s="1"/>
      <c r="G174" s="1"/>
      <c r="H174" s="1"/>
      <c r="J174" s="1"/>
    </row>
    <row r="175" spans="5:10">
      <c r="E175" s="1"/>
      <c r="G175" s="1"/>
      <c r="H175" s="1"/>
      <c r="J175" s="1"/>
    </row>
    <row r="176" spans="5:10">
      <c r="E176" s="1"/>
      <c r="G176" s="1"/>
      <c r="H176" s="1"/>
      <c r="J176" s="1"/>
    </row>
    <row r="177" spans="5:10">
      <c r="E177" s="1"/>
      <c r="G177" s="1"/>
      <c r="H177" s="1"/>
      <c r="J177" s="1"/>
    </row>
    <row r="178" spans="5:10">
      <c r="E178" s="1"/>
      <c r="G178" s="1"/>
      <c r="H178" s="1"/>
      <c r="J178" s="1"/>
    </row>
    <row r="179" spans="5:10">
      <c r="E179" s="1"/>
      <c r="G179" s="1"/>
      <c r="H179" s="1"/>
    </row>
    <row r="180" spans="5:10">
      <c r="E180" s="1"/>
      <c r="G180" s="1"/>
      <c r="H180" s="1"/>
      <c r="J180" s="1"/>
    </row>
    <row r="181" spans="5:10">
      <c r="E181" s="1"/>
      <c r="G181" s="1"/>
      <c r="H181" s="1"/>
      <c r="J181" s="1"/>
    </row>
    <row r="182" spans="5:10">
      <c r="E182" s="1"/>
      <c r="G182" s="1"/>
      <c r="H182" s="1"/>
      <c r="J182" s="1"/>
    </row>
    <row r="183" spans="5:10">
      <c r="E183" s="1"/>
      <c r="G183" s="1"/>
      <c r="H183" s="1"/>
      <c r="J183" s="1"/>
    </row>
    <row r="184" spans="5:10">
      <c r="E184" s="1"/>
      <c r="G184" s="1"/>
      <c r="H184" s="1"/>
      <c r="J184" s="1"/>
    </row>
    <row r="185" spans="5:10">
      <c r="E185" s="1"/>
      <c r="G185" s="1"/>
      <c r="H185" s="1"/>
      <c r="J185" s="1"/>
    </row>
    <row r="186" spans="5:10">
      <c r="E186" s="1"/>
      <c r="G186" s="1"/>
      <c r="H186" s="1"/>
    </row>
    <row r="187" spans="5:10">
      <c r="E187" s="1"/>
      <c r="G187" s="1"/>
      <c r="H187" s="1"/>
      <c r="J187" s="1"/>
    </row>
    <row r="188" spans="5:10">
      <c r="E188" s="1"/>
      <c r="G188" s="1"/>
      <c r="H188" s="1"/>
      <c r="J188" s="1"/>
    </row>
    <row r="189" spans="5:10">
      <c r="E189" s="1"/>
      <c r="G189" s="1"/>
      <c r="H189" s="1"/>
      <c r="J189" s="1"/>
    </row>
    <row r="190" spans="5:10">
      <c r="E190" s="1"/>
      <c r="G190" s="1"/>
      <c r="H190" s="1"/>
      <c r="J190" s="1"/>
    </row>
    <row r="191" spans="5:10">
      <c r="E191" s="1"/>
      <c r="G191" s="1"/>
      <c r="H191" s="1"/>
      <c r="J191" s="1"/>
    </row>
    <row r="192" spans="5:10">
      <c r="E192" s="1"/>
      <c r="G192" s="1"/>
      <c r="H192" s="1"/>
      <c r="J192" s="1"/>
    </row>
    <row r="193" spans="5:10">
      <c r="E193" s="1"/>
      <c r="G193" s="1"/>
    </row>
    <row r="194" spans="5:10">
      <c r="E194" s="1"/>
      <c r="G194" s="1"/>
    </row>
    <row r="195" spans="5:10">
      <c r="E195" s="1"/>
      <c r="G195" s="1"/>
    </row>
    <row r="196" spans="5:10">
      <c r="E196" s="1"/>
      <c r="G196" s="1"/>
      <c r="H196" s="1"/>
    </row>
    <row r="197" spans="5:10">
      <c r="E197" s="1"/>
      <c r="G197" s="1"/>
      <c r="H197" s="1"/>
    </row>
    <row r="198" spans="5:10">
      <c r="E198" s="1"/>
      <c r="G198" s="1"/>
    </row>
    <row r="199" spans="5:10">
      <c r="E199" s="1"/>
      <c r="G199" s="1"/>
      <c r="H199" s="1"/>
      <c r="J199" s="1"/>
    </row>
    <row r="200" spans="5:10">
      <c r="E200" s="1"/>
      <c r="G200" s="1"/>
      <c r="H200" s="1"/>
      <c r="J200" s="1"/>
    </row>
    <row r="201" spans="5:10">
      <c r="E201" s="1"/>
      <c r="G201" s="1"/>
      <c r="H201" s="1"/>
      <c r="J201" s="1"/>
    </row>
    <row r="202" spans="5:10">
      <c r="E202" s="1"/>
      <c r="G202" s="1"/>
      <c r="H202" s="1"/>
      <c r="J202" s="1"/>
    </row>
    <row r="203" spans="5:10">
      <c r="E203" s="1"/>
      <c r="G203" s="1"/>
      <c r="H203" s="1"/>
      <c r="J203" s="1"/>
    </row>
    <row r="204" spans="5:10">
      <c r="E204" s="1"/>
      <c r="G204" s="1"/>
      <c r="H204" s="1"/>
      <c r="J204" s="1"/>
    </row>
    <row r="205" spans="5:10">
      <c r="E205" s="1"/>
      <c r="G205" s="1"/>
      <c r="H205" s="1"/>
      <c r="J205" s="1"/>
    </row>
    <row r="206" spans="5:10">
      <c r="E206" s="1"/>
      <c r="G206" s="1"/>
      <c r="H206" s="1"/>
      <c r="J206" s="1"/>
    </row>
    <row r="207" spans="5:10">
      <c r="E207" s="1"/>
      <c r="G207" s="1"/>
      <c r="H207" s="1"/>
      <c r="J207" s="1"/>
    </row>
    <row r="208" spans="5:10">
      <c r="E208" s="1"/>
      <c r="G208" s="1"/>
      <c r="H208" s="1"/>
      <c r="J208" s="1"/>
    </row>
    <row r="209" spans="5:10">
      <c r="E209" s="1"/>
      <c r="G209" s="1"/>
      <c r="H209" s="1"/>
      <c r="J209" s="1"/>
    </row>
    <row r="210" spans="5:10">
      <c r="E210" s="1"/>
      <c r="G210" s="1"/>
      <c r="H210" s="1"/>
      <c r="J210" s="1"/>
    </row>
    <row r="211" spans="5:10">
      <c r="E211" s="1"/>
      <c r="G211" s="1"/>
      <c r="H211" s="1"/>
      <c r="J211" s="1"/>
    </row>
    <row r="212" spans="5:10">
      <c r="E212" s="1"/>
      <c r="G212" s="1"/>
      <c r="H212" s="1"/>
      <c r="J212" s="1"/>
    </row>
    <row r="213" spans="5:10">
      <c r="E213" s="1"/>
      <c r="G213" s="1"/>
      <c r="H213" s="1"/>
      <c r="J213" s="1"/>
    </row>
    <row r="214" spans="5:10">
      <c r="E214" s="1"/>
      <c r="G214" s="1"/>
      <c r="H214" s="1"/>
      <c r="J214" s="1"/>
    </row>
    <row r="215" spans="5:10">
      <c r="E215" s="1"/>
      <c r="G215" s="1"/>
      <c r="H215" s="1"/>
      <c r="J215" s="1"/>
    </row>
    <row r="216" spans="5:10">
      <c r="E216" s="1"/>
      <c r="G216" s="1"/>
      <c r="H216" s="1"/>
      <c r="J216" s="1"/>
    </row>
    <row r="217" spans="5:10">
      <c r="E217" s="1"/>
      <c r="G217" s="1"/>
      <c r="H217" s="1"/>
      <c r="J217" s="1"/>
    </row>
    <row r="218" spans="5:10">
      <c r="E218" s="1"/>
      <c r="G218" s="1"/>
      <c r="H218" s="1"/>
      <c r="J218" s="1"/>
    </row>
    <row r="219" spans="5:10">
      <c r="E219" s="1"/>
      <c r="G219" s="1"/>
      <c r="H219" s="1"/>
    </row>
    <row r="220" spans="5:10">
      <c r="E220" s="1"/>
      <c r="G220" s="1"/>
      <c r="H220" s="1"/>
    </row>
    <row r="221" spans="5:10">
      <c r="E221" s="1"/>
      <c r="G221" s="1"/>
      <c r="H221" s="1"/>
      <c r="J221" s="1"/>
    </row>
    <row r="222" spans="5:10">
      <c r="E222" s="1"/>
      <c r="G222" s="1"/>
      <c r="H222" s="1"/>
      <c r="J222" s="1"/>
    </row>
    <row r="223" spans="5:10">
      <c r="E223" s="1"/>
      <c r="G223" s="1"/>
      <c r="H223" s="1"/>
      <c r="J223" s="1"/>
    </row>
    <row r="224" spans="5:10">
      <c r="E224" s="1"/>
      <c r="G224" s="1"/>
      <c r="H224" s="1"/>
      <c r="J224" s="1"/>
    </row>
    <row r="225" spans="5:10">
      <c r="E225" s="1"/>
      <c r="G225" s="1"/>
      <c r="H225" s="1"/>
      <c r="J225" s="1"/>
    </row>
    <row r="226" spans="5:10">
      <c r="E226" s="1"/>
      <c r="G226" s="1"/>
      <c r="H226" s="1"/>
      <c r="J226" s="1"/>
    </row>
    <row r="227" spans="5:10">
      <c r="E227" s="1"/>
      <c r="G227" s="1"/>
      <c r="H227" s="1"/>
      <c r="J227" s="1"/>
    </row>
    <row r="228" spans="5:10">
      <c r="E228" s="1"/>
      <c r="G228" s="1"/>
    </row>
    <row r="229" spans="5:10">
      <c r="E229" s="1"/>
      <c r="G229" s="1"/>
      <c r="H229" s="1"/>
    </row>
    <row r="230" spans="5:10">
      <c r="E230" s="1"/>
      <c r="G230" s="1"/>
      <c r="H230" s="1"/>
      <c r="J230" s="1"/>
    </row>
    <row r="231" spans="5:10">
      <c r="E231" s="1"/>
      <c r="G231" s="1"/>
      <c r="H231" s="1"/>
      <c r="J231" s="1"/>
    </row>
    <row r="232" spans="5:10">
      <c r="E232" s="1"/>
      <c r="G232" s="1"/>
      <c r="H232" s="1"/>
      <c r="J232" s="1"/>
    </row>
    <row r="233" spans="5:10">
      <c r="E233" s="1"/>
      <c r="G233" s="1"/>
      <c r="H233" s="1"/>
      <c r="J233" s="1"/>
    </row>
    <row r="234" spans="5:10">
      <c r="E234" s="1"/>
      <c r="G234" s="1"/>
      <c r="H234" s="1"/>
      <c r="J234" s="1"/>
    </row>
    <row r="235" spans="5:10">
      <c r="E235" s="1"/>
      <c r="G235" s="1"/>
      <c r="H235" s="1"/>
      <c r="J235" s="1"/>
    </row>
    <row r="236" spans="5:10">
      <c r="E236" s="1"/>
      <c r="G236" s="1"/>
      <c r="H236" s="1"/>
      <c r="J236" s="1"/>
    </row>
    <row r="237" spans="5:10">
      <c r="E237" s="1"/>
      <c r="G237" s="1"/>
      <c r="H237" s="1"/>
      <c r="J237" s="1"/>
    </row>
    <row r="238" spans="5:10">
      <c r="E238" s="1"/>
      <c r="G238" s="1"/>
      <c r="H238" s="1"/>
      <c r="J238" s="1"/>
    </row>
    <row r="239" spans="5:10">
      <c r="E239" s="1"/>
      <c r="G239" s="1"/>
      <c r="H239" s="1"/>
      <c r="J239" s="1"/>
    </row>
    <row r="240" spans="5:10">
      <c r="E240" s="1"/>
      <c r="G240" s="1"/>
      <c r="H240" s="1"/>
      <c r="J240" s="1"/>
    </row>
    <row r="241" spans="5:10">
      <c r="E241" s="1"/>
      <c r="G241" s="1"/>
      <c r="H241" s="1"/>
      <c r="J241" s="1"/>
    </row>
    <row r="242" spans="5:10">
      <c r="E242" s="1"/>
      <c r="G242" s="1"/>
      <c r="H242" s="1"/>
      <c r="J242" s="1"/>
    </row>
    <row r="243" spans="5:10">
      <c r="E243" s="1"/>
      <c r="G243" s="1"/>
      <c r="H243" s="1"/>
      <c r="J243" s="1"/>
    </row>
    <row r="244" spans="5:10">
      <c r="E244" s="1"/>
      <c r="G244" s="1"/>
      <c r="H244" s="1"/>
      <c r="J244" s="1"/>
    </row>
    <row r="245" spans="5:10">
      <c r="E245" s="1"/>
      <c r="G245" s="1"/>
      <c r="H245" s="1"/>
      <c r="J245" s="1"/>
    </row>
    <row r="246" spans="5:10">
      <c r="E246" s="1"/>
      <c r="G246" s="1"/>
      <c r="H246" s="1"/>
      <c r="J246" s="1"/>
    </row>
    <row r="247" spans="5:10">
      <c r="E247" s="1"/>
      <c r="G247" s="1"/>
    </row>
    <row r="248" spans="5:10">
      <c r="E248" s="1"/>
      <c r="G248" s="1"/>
    </row>
    <row r="249" spans="5:10">
      <c r="E249" s="1"/>
      <c r="G249" s="1"/>
      <c r="H249" s="1"/>
      <c r="J249" s="1"/>
    </row>
    <row r="250" spans="5:10">
      <c r="E250" s="1"/>
      <c r="G250" s="1"/>
      <c r="H250" s="1"/>
      <c r="J250" s="1"/>
    </row>
    <row r="251" spans="5:10">
      <c r="E251" s="1"/>
      <c r="G251" s="1"/>
      <c r="H251" s="1"/>
      <c r="J251" s="1"/>
    </row>
    <row r="252" spans="5:10">
      <c r="E252" s="1"/>
      <c r="G252" s="1"/>
      <c r="H252" s="1"/>
      <c r="J252" s="1"/>
    </row>
    <row r="253" spans="5:10">
      <c r="E253" s="1"/>
      <c r="G253" s="1"/>
      <c r="H253" s="1"/>
      <c r="J253" s="1"/>
    </row>
    <row r="254" spans="5:10">
      <c r="E254" s="1"/>
      <c r="G254" s="1"/>
      <c r="H254" s="1"/>
      <c r="J254" s="1"/>
    </row>
    <row r="255" spans="5:10">
      <c r="E255" s="1"/>
      <c r="G255" s="1"/>
      <c r="H255" s="1"/>
      <c r="J255" s="1"/>
    </row>
    <row r="256" spans="5:10">
      <c r="E256" s="1"/>
      <c r="G256" s="1"/>
      <c r="H256" s="1"/>
      <c r="J256" s="1"/>
    </row>
    <row r="257" spans="5:10">
      <c r="E257" s="1"/>
      <c r="G257" s="1"/>
      <c r="H257" s="1"/>
      <c r="J257" s="1"/>
    </row>
    <row r="258" spans="5:10">
      <c r="E258" s="1"/>
      <c r="G258" s="1"/>
      <c r="H258" s="1"/>
      <c r="J258" s="1"/>
    </row>
    <row r="259" spans="5:10">
      <c r="E259" s="1"/>
      <c r="G259" s="1"/>
      <c r="H259" s="1"/>
    </row>
    <row r="260" spans="5:10">
      <c r="E260" s="1"/>
      <c r="G260" s="1"/>
      <c r="H260" s="1"/>
      <c r="J260" s="1"/>
    </row>
    <row r="261" spans="5:10">
      <c r="E261" s="1"/>
      <c r="G261" s="1"/>
      <c r="H261" s="1"/>
      <c r="J261" s="1"/>
    </row>
    <row r="262" spans="5:10">
      <c r="E262" s="1"/>
      <c r="G262" s="1"/>
      <c r="H262" s="1"/>
      <c r="J262" s="1"/>
    </row>
    <row r="263" spans="5:10">
      <c r="E263" s="1"/>
      <c r="G263" s="1"/>
      <c r="H263" s="1"/>
      <c r="J263" s="1"/>
    </row>
    <row r="264" spans="5:10">
      <c r="E264" s="1"/>
      <c r="G264" s="1"/>
      <c r="H264" s="1"/>
      <c r="J264" s="1"/>
    </row>
    <row r="265" spans="5:10">
      <c r="E265" s="1"/>
      <c r="G265" s="1"/>
      <c r="H265" s="1"/>
      <c r="J265" s="1"/>
    </row>
    <row r="266" spans="5:10">
      <c r="E266" s="1"/>
      <c r="G266" s="1"/>
      <c r="H266" s="1"/>
      <c r="J266" s="1"/>
    </row>
    <row r="267" spans="5:10">
      <c r="E267" s="1"/>
      <c r="G267" s="1"/>
      <c r="H267" s="1"/>
      <c r="J267" s="1"/>
    </row>
    <row r="268" spans="5:10">
      <c r="E268" s="1"/>
      <c r="G268" s="1"/>
      <c r="H268" s="1"/>
      <c r="J268" s="1"/>
    </row>
    <row r="269" spans="5:10">
      <c r="E269" s="1"/>
      <c r="G269" s="1"/>
      <c r="H269" s="1"/>
      <c r="J269" s="1"/>
    </row>
    <row r="270" spans="5:10">
      <c r="E270" s="1"/>
      <c r="G270" s="1"/>
      <c r="H270" s="1"/>
      <c r="J270" s="1"/>
    </row>
    <row r="271" spans="5:10">
      <c r="E271" s="1"/>
      <c r="G271" s="1"/>
      <c r="H271" s="1"/>
      <c r="J271" s="1"/>
    </row>
    <row r="272" spans="5:10">
      <c r="E272" s="1"/>
      <c r="G272" s="1"/>
      <c r="H272" s="1"/>
      <c r="J272" s="1"/>
    </row>
    <row r="273" spans="5:10">
      <c r="E273" s="1"/>
      <c r="G273" s="1"/>
      <c r="H273" s="1"/>
      <c r="J273" s="1"/>
    </row>
    <row r="274" spans="5:10">
      <c r="E274" s="1"/>
      <c r="G274" s="1"/>
      <c r="H274" s="1"/>
      <c r="J274" s="1"/>
    </row>
    <row r="275" spans="5:10">
      <c r="E275" s="1"/>
      <c r="G275" s="1"/>
      <c r="H275" s="1"/>
      <c r="J275" s="1"/>
    </row>
    <row r="276" spans="5:10">
      <c r="E276" s="1"/>
      <c r="G276" s="1"/>
      <c r="H276" s="1"/>
      <c r="J276" s="1"/>
    </row>
    <row r="277" spans="5:10">
      <c r="E277" s="1"/>
      <c r="G277" s="1"/>
      <c r="H277" s="1"/>
      <c r="J277" s="1"/>
    </row>
    <row r="278" spans="5:10">
      <c r="E278" s="1"/>
      <c r="G278" s="1"/>
      <c r="H278" s="1"/>
      <c r="J278" s="1"/>
    </row>
    <row r="279" spans="5:10">
      <c r="E279" s="1"/>
      <c r="G279" s="1"/>
      <c r="H279" s="1"/>
      <c r="J279" s="1"/>
    </row>
    <row r="280" spans="5:10">
      <c r="E280" s="1"/>
      <c r="G280" s="1"/>
      <c r="H280" s="1"/>
      <c r="J280" s="1"/>
    </row>
    <row r="281" spans="5:10">
      <c r="E281" s="1"/>
      <c r="G281" s="1"/>
    </row>
    <row r="282" spans="5:10">
      <c r="E282" s="1"/>
      <c r="G282" s="1"/>
      <c r="H282" s="1"/>
      <c r="J282" s="1"/>
    </row>
    <row r="283" spans="5:10">
      <c r="E283" s="1"/>
      <c r="G283" s="1"/>
      <c r="H283" s="1"/>
    </row>
    <row r="284" spans="5:10">
      <c r="E284" s="1"/>
      <c r="G284" s="1"/>
      <c r="H284" s="1"/>
      <c r="J284" s="1"/>
    </row>
    <row r="285" spans="5:10">
      <c r="E285" s="1"/>
      <c r="G285" s="1"/>
      <c r="H285" s="1"/>
      <c r="J285" s="1"/>
    </row>
    <row r="286" spans="5:10">
      <c r="E286" s="1"/>
      <c r="G286" s="1"/>
      <c r="H286" s="1"/>
      <c r="J286" s="1"/>
    </row>
    <row r="287" spans="5:10">
      <c r="E287" s="1"/>
      <c r="G287" s="1"/>
      <c r="H287" s="1"/>
    </row>
    <row r="288" spans="5:10">
      <c r="E288" s="1"/>
      <c r="G288" s="1"/>
      <c r="H288" s="1"/>
      <c r="J288" s="1"/>
    </row>
    <row r="289" spans="5:10">
      <c r="E289" s="1"/>
      <c r="G289" s="1"/>
      <c r="H289" s="1"/>
      <c r="J289" s="1"/>
    </row>
    <row r="290" spans="5:10">
      <c r="E290" s="1"/>
      <c r="G290" s="1"/>
      <c r="H290" s="1"/>
      <c r="J290" s="1"/>
    </row>
    <row r="291" spans="5:10">
      <c r="E291" s="1"/>
      <c r="G291" s="1"/>
      <c r="H291" s="1"/>
      <c r="J291" s="1"/>
    </row>
    <row r="292" spans="5:10">
      <c r="E292" s="1"/>
      <c r="G292" s="1"/>
      <c r="H292" s="1"/>
      <c r="J292" s="1"/>
    </row>
    <row r="293" spans="5:10">
      <c r="E293" s="1"/>
      <c r="G293" s="1"/>
      <c r="H293" s="1"/>
      <c r="J293" s="1"/>
    </row>
    <row r="294" spans="5:10">
      <c r="E294" s="1"/>
      <c r="G294" s="1"/>
      <c r="H294" s="1"/>
      <c r="J294" s="1"/>
    </row>
    <row r="295" spans="5:10">
      <c r="E295" s="1"/>
      <c r="G295" s="1"/>
      <c r="H295" s="1"/>
      <c r="J295" s="1"/>
    </row>
  </sheetData>
  <customSheetViews>
    <customSheetView guid="{2D7AA37D-8C06-47FC-8F44-3FA6E78D04F2}">
      <selection sqref="A1:N63"/>
      <pageMargins left="0.7" right="0.7" top="0.75" bottom="0.75" header="0.3" footer="0.3"/>
      <pageSetup orientation="portrait" r:id="rId1"/>
    </customSheetView>
    <customSheetView guid="{9C8ADCBA-1E8C-4961-B877-3E192DBDFA7A}" showPageBreaks="1" topLeftCell="A6">
      <selection sqref="A1:N8"/>
      <pageMargins left="0.7" right="0.7" top="0.75" bottom="0.75" header="0.3" footer="0.3"/>
      <pageSetup orientation="portrait" r:id="rId2"/>
    </customSheetView>
  </customSheetViews>
  <phoneticPr fontId="1" type="noConversion"/>
  <pageMargins left="0.7" right="0.7" top="0.75" bottom="0.75" header="0.3" footer="0.3"/>
  <pageSetup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M123"/>
  <sheetViews>
    <sheetView workbookViewId="0">
      <selection sqref="A1:M10"/>
    </sheetView>
  </sheetViews>
  <sheetFormatPr defaultRowHeight="14.25"/>
  <cols>
    <col min="2" max="2" width="31.59765625" customWidth="1"/>
    <col min="10" max="10" width="15.86328125" bestFit="1" customWidth="1"/>
  </cols>
  <sheetData>
    <row r="1" spans="1:13">
      <c r="A1" t="s">
        <v>316</v>
      </c>
      <c r="B1" t="s">
        <v>11</v>
      </c>
      <c r="C1" s="4" t="s">
        <v>309</v>
      </c>
      <c r="D1" t="s">
        <v>317</v>
      </c>
      <c r="E1" t="s">
        <v>318</v>
      </c>
      <c r="F1" s="4" t="s">
        <v>319</v>
      </c>
      <c r="G1" t="s">
        <v>320</v>
      </c>
      <c r="H1" t="s">
        <v>321</v>
      </c>
      <c r="I1" t="s">
        <v>322</v>
      </c>
      <c r="J1" t="s">
        <v>323</v>
      </c>
      <c r="K1" t="s">
        <v>324</v>
      </c>
      <c r="L1" t="s">
        <v>725</v>
      </c>
      <c r="M1" t="s">
        <v>782</v>
      </c>
    </row>
    <row r="2" spans="1:13">
      <c r="A2">
        <v>30</v>
      </c>
      <c r="B2" t="s">
        <v>804</v>
      </c>
      <c r="C2" s="4" t="s">
        <v>380</v>
      </c>
      <c r="D2" t="s">
        <v>125</v>
      </c>
      <c r="E2" t="s">
        <v>86</v>
      </c>
      <c r="F2" s="4" t="s">
        <v>278</v>
      </c>
      <c r="G2" t="s">
        <v>116</v>
      </c>
      <c r="H2" t="s">
        <v>178</v>
      </c>
      <c r="I2">
        <v>28.95</v>
      </c>
      <c r="J2" s="1">
        <v>45196</v>
      </c>
      <c r="K2" t="s">
        <v>325</v>
      </c>
      <c r="L2" t="s">
        <v>326</v>
      </c>
    </row>
    <row r="3" spans="1:13">
      <c r="A3">
        <v>31</v>
      </c>
      <c r="B3" t="s">
        <v>886</v>
      </c>
      <c r="C3" s="4" t="s">
        <v>381</v>
      </c>
      <c r="D3" t="s">
        <v>125</v>
      </c>
      <c r="E3" t="s">
        <v>37</v>
      </c>
      <c r="F3" s="4" t="s">
        <v>236</v>
      </c>
      <c r="G3" t="s">
        <v>113</v>
      </c>
      <c r="H3" t="s">
        <v>178</v>
      </c>
      <c r="I3">
        <v>35.75</v>
      </c>
      <c r="J3" s="1">
        <v>45196</v>
      </c>
      <c r="K3" t="s">
        <v>325</v>
      </c>
      <c r="L3" t="s">
        <v>326</v>
      </c>
    </row>
    <row r="4" spans="1:13">
      <c r="A4">
        <v>32</v>
      </c>
      <c r="B4" t="s">
        <v>823</v>
      </c>
      <c r="C4" s="4" t="s">
        <v>382</v>
      </c>
      <c r="D4" t="s">
        <v>125</v>
      </c>
      <c r="E4" t="s">
        <v>101</v>
      </c>
      <c r="F4" s="4" t="s">
        <v>295</v>
      </c>
      <c r="G4" t="s">
        <v>113</v>
      </c>
      <c r="H4" t="s">
        <v>178</v>
      </c>
      <c r="I4">
        <v>27.1</v>
      </c>
      <c r="J4" s="1">
        <v>45196</v>
      </c>
      <c r="K4" t="s">
        <v>325</v>
      </c>
      <c r="L4" t="s">
        <v>326</v>
      </c>
    </row>
    <row r="5" spans="1:13">
      <c r="A5">
        <v>33</v>
      </c>
      <c r="B5" t="s">
        <v>800</v>
      </c>
      <c r="C5" s="4" t="s">
        <v>383</v>
      </c>
      <c r="D5" t="s">
        <v>125</v>
      </c>
      <c r="E5" t="s">
        <v>36</v>
      </c>
      <c r="F5" s="4" t="s">
        <v>235</v>
      </c>
      <c r="G5" t="s">
        <v>113</v>
      </c>
      <c r="H5" t="s">
        <v>178</v>
      </c>
      <c r="I5">
        <v>24.1</v>
      </c>
      <c r="J5" s="1">
        <v>45196</v>
      </c>
      <c r="K5" t="s">
        <v>325</v>
      </c>
      <c r="L5" t="s">
        <v>326</v>
      </c>
    </row>
    <row r="6" spans="1:13">
      <c r="A6">
        <v>34</v>
      </c>
      <c r="B6" t="s">
        <v>471</v>
      </c>
      <c r="C6" s="4" t="s">
        <v>368</v>
      </c>
      <c r="D6" t="s">
        <v>121</v>
      </c>
      <c r="E6" t="s">
        <v>30</v>
      </c>
      <c r="F6" s="4" t="s">
        <v>512</v>
      </c>
      <c r="G6" t="s">
        <v>112</v>
      </c>
      <c r="H6" t="s">
        <v>178</v>
      </c>
      <c r="I6">
        <v>316.44</v>
      </c>
      <c r="J6" s="1">
        <v>45196</v>
      </c>
      <c r="K6" t="s">
        <v>325</v>
      </c>
      <c r="L6" t="s">
        <v>325</v>
      </c>
    </row>
    <row r="7" spans="1:13">
      <c r="A7">
        <v>35</v>
      </c>
      <c r="B7" t="s">
        <v>472</v>
      </c>
      <c r="C7" s="4" t="s">
        <v>369</v>
      </c>
      <c r="D7" t="s">
        <v>133</v>
      </c>
      <c r="E7" t="s">
        <v>59</v>
      </c>
      <c r="F7" s="4" t="s">
        <v>253</v>
      </c>
      <c r="G7" t="s">
        <v>113</v>
      </c>
      <c r="H7" t="s">
        <v>178</v>
      </c>
      <c r="I7">
        <v>180</v>
      </c>
      <c r="J7" s="1">
        <v>45196</v>
      </c>
      <c r="K7" t="s">
        <v>325</v>
      </c>
      <c r="L7" t="s">
        <v>325</v>
      </c>
    </row>
    <row r="8" spans="1:13">
      <c r="A8">
        <v>36</v>
      </c>
      <c r="B8" t="s">
        <v>792</v>
      </c>
      <c r="C8" s="4" t="s">
        <v>388</v>
      </c>
      <c r="D8" t="s">
        <v>127</v>
      </c>
      <c r="E8" t="s">
        <v>81</v>
      </c>
      <c r="F8" s="4" t="s">
        <v>273</v>
      </c>
      <c r="G8" t="s">
        <v>112</v>
      </c>
      <c r="H8" t="s">
        <v>178</v>
      </c>
      <c r="I8">
        <v>106.41</v>
      </c>
      <c r="J8" s="1">
        <v>45196</v>
      </c>
      <c r="K8" t="s">
        <v>325</v>
      </c>
      <c r="L8" t="s">
        <v>325</v>
      </c>
    </row>
    <row r="9" spans="1:13">
      <c r="A9">
        <v>37</v>
      </c>
      <c r="B9" t="s">
        <v>882</v>
      </c>
      <c r="C9" s="4" t="s">
        <v>883</v>
      </c>
      <c r="D9" t="s">
        <v>884</v>
      </c>
      <c r="E9" t="s">
        <v>885</v>
      </c>
      <c r="F9" t="s">
        <v>121</v>
      </c>
      <c r="G9" t="s">
        <v>112</v>
      </c>
      <c r="H9" t="s">
        <v>178</v>
      </c>
      <c r="I9">
        <v>58.92</v>
      </c>
      <c r="J9" s="1">
        <v>45481</v>
      </c>
      <c r="K9" t="s">
        <v>325</v>
      </c>
      <c r="L9" t="s">
        <v>325</v>
      </c>
    </row>
    <row r="10" spans="1:13">
      <c r="A10">
        <v>38</v>
      </c>
      <c r="B10" t="s">
        <v>896</v>
      </c>
      <c r="C10" s="4" t="s">
        <v>897</v>
      </c>
      <c r="D10" t="s">
        <v>121</v>
      </c>
      <c r="E10" t="s">
        <v>898</v>
      </c>
      <c r="F10">
        <v>60050009</v>
      </c>
      <c r="G10" t="s">
        <v>112</v>
      </c>
      <c r="H10" t="s">
        <v>178</v>
      </c>
      <c r="I10">
        <v>211.18</v>
      </c>
      <c r="J10" s="1">
        <v>45488</v>
      </c>
      <c r="K10" t="s">
        <v>325</v>
      </c>
      <c r="L10" t="s">
        <v>325</v>
      </c>
    </row>
    <row r="11" spans="1:13">
      <c r="C11" s="4"/>
      <c r="J11" s="1"/>
    </row>
    <row r="12" spans="1:13">
      <c r="C12" s="4"/>
      <c r="J12" s="1"/>
    </row>
    <row r="13" spans="1:13">
      <c r="C13" s="4"/>
      <c r="J13" s="1"/>
    </row>
    <row r="14" spans="1:13">
      <c r="C14" s="4"/>
      <c r="F14" s="4"/>
      <c r="J14" s="1"/>
      <c r="M14" s="4"/>
    </row>
    <row r="15" spans="1:13">
      <c r="C15" s="4"/>
      <c r="F15" s="4"/>
      <c r="J15" s="1"/>
    </row>
    <row r="16" spans="1:13">
      <c r="C16" s="4"/>
      <c r="F16" s="4"/>
      <c r="J16" s="1"/>
    </row>
    <row r="17" spans="3:10">
      <c r="C17" s="4"/>
      <c r="F17" s="4"/>
      <c r="J17" s="1"/>
    </row>
    <row r="18" spans="3:10">
      <c r="C18" s="4"/>
      <c r="F18" s="4"/>
      <c r="J18" s="1"/>
    </row>
    <row r="19" spans="3:10">
      <c r="C19" s="4"/>
      <c r="F19" s="4"/>
      <c r="J19" s="1"/>
    </row>
    <row r="20" spans="3:10">
      <c r="C20" s="4"/>
      <c r="F20" s="4"/>
      <c r="J20" s="1"/>
    </row>
    <row r="21" spans="3:10">
      <c r="C21" s="4"/>
      <c r="F21" s="4"/>
      <c r="J21" s="1"/>
    </row>
    <row r="22" spans="3:10">
      <c r="C22" s="4"/>
      <c r="F22" s="4"/>
      <c r="J22" s="1"/>
    </row>
    <row r="23" spans="3:10">
      <c r="C23" s="4"/>
      <c r="F23" s="4"/>
      <c r="J23" s="1"/>
    </row>
    <row r="24" spans="3:10">
      <c r="C24" s="4"/>
      <c r="F24" s="4"/>
      <c r="J24" s="1"/>
    </row>
    <row r="25" spans="3:10">
      <c r="C25" s="4"/>
      <c r="F25" s="4"/>
      <c r="J25" s="1"/>
    </row>
    <row r="26" spans="3:10">
      <c r="C26" s="4"/>
      <c r="F26" s="4"/>
      <c r="J26" s="1"/>
    </row>
    <row r="27" spans="3:10">
      <c r="C27" s="4"/>
      <c r="F27" s="4"/>
      <c r="J27" s="1"/>
    </row>
    <row r="28" spans="3:10">
      <c r="C28" s="4"/>
      <c r="F28" s="4"/>
      <c r="J28" s="1"/>
    </row>
    <row r="29" spans="3:10">
      <c r="C29" s="4"/>
      <c r="F29" s="4"/>
      <c r="J29" s="1"/>
    </row>
    <row r="30" spans="3:10">
      <c r="C30" s="4"/>
      <c r="F30" s="4"/>
      <c r="J30" s="1"/>
    </row>
    <row r="31" spans="3:10">
      <c r="C31" s="4"/>
      <c r="F31" s="4"/>
      <c r="J31" s="1"/>
    </row>
    <row r="32" spans="3:10">
      <c r="C32" s="4"/>
      <c r="F32" s="4"/>
      <c r="J32" s="1"/>
    </row>
    <row r="33" spans="3:13">
      <c r="C33" s="4"/>
      <c r="F33" s="4"/>
      <c r="J33" s="1"/>
    </row>
    <row r="34" spans="3:13">
      <c r="C34" s="4"/>
      <c r="F34" s="4"/>
      <c r="J34" s="1"/>
    </row>
    <row r="35" spans="3:13">
      <c r="C35" s="4"/>
      <c r="F35" s="4"/>
      <c r="J35" s="1"/>
    </row>
    <row r="36" spans="3:13">
      <c r="C36" s="4"/>
      <c r="J36" s="1"/>
    </row>
    <row r="37" spans="3:13">
      <c r="C37" s="4"/>
      <c r="J37" s="1"/>
    </row>
    <row r="38" spans="3:13">
      <c r="C38" s="4"/>
      <c r="J38" s="1"/>
    </row>
    <row r="39" spans="3:13">
      <c r="C39" s="4"/>
      <c r="J39" s="1"/>
    </row>
    <row r="40" spans="3:13">
      <c r="C40" s="4"/>
      <c r="F40" s="4"/>
      <c r="J40" s="1"/>
    </row>
    <row r="41" spans="3:13">
      <c r="C41" s="4"/>
      <c r="F41" s="4"/>
      <c r="J41" s="1"/>
      <c r="M41" s="4"/>
    </row>
    <row r="42" spans="3:13">
      <c r="C42" s="4"/>
      <c r="F42" s="4"/>
      <c r="J42" s="1"/>
    </row>
    <row r="43" spans="3:13">
      <c r="C43" s="4"/>
      <c r="F43" s="4"/>
      <c r="J43" s="1"/>
    </row>
    <row r="44" spans="3:13">
      <c r="C44" s="4"/>
      <c r="F44" s="4"/>
      <c r="J44" s="1"/>
    </row>
    <row r="45" spans="3:13">
      <c r="C45" s="4"/>
      <c r="F45" s="4"/>
      <c r="J45" s="1"/>
    </row>
    <row r="46" spans="3:13">
      <c r="C46" s="4"/>
      <c r="F46" s="4"/>
      <c r="J46" s="1"/>
    </row>
    <row r="47" spans="3:13">
      <c r="C47" s="4"/>
      <c r="F47" s="4"/>
      <c r="J47" s="1"/>
    </row>
    <row r="48" spans="3:13">
      <c r="C48" s="4"/>
      <c r="F48" s="4"/>
      <c r="J48" s="1"/>
    </row>
    <row r="49" spans="3:10">
      <c r="C49" s="4"/>
      <c r="F49" s="4"/>
      <c r="J49" s="1"/>
    </row>
    <row r="50" spans="3:10">
      <c r="C50" s="4"/>
      <c r="F50" s="4"/>
      <c r="J50" s="1"/>
    </row>
    <row r="51" spans="3:10">
      <c r="C51" s="4"/>
      <c r="F51" s="4"/>
      <c r="J51" s="1"/>
    </row>
    <row r="52" spans="3:10">
      <c r="C52" s="4"/>
      <c r="F52" s="4"/>
      <c r="J52" s="1"/>
    </row>
    <row r="53" spans="3:10">
      <c r="C53" s="4"/>
      <c r="F53" s="4"/>
      <c r="J53" s="1"/>
    </row>
    <row r="54" spans="3:10">
      <c r="C54" s="4"/>
      <c r="F54" s="4"/>
      <c r="J54" s="1"/>
    </row>
    <row r="55" spans="3:10">
      <c r="C55" s="4"/>
      <c r="F55" s="4"/>
      <c r="J55" s="1"/>
    </row>
    <row r="56" spans="3:10">
      <c r="C56" s="4"/>
      <c r="F56" s="4"/>
      <c r="J56" s="1"/>
    </row>
    <row r="57" spans="3:10">
      <c r="C57" s="4"/>
      <c r="F57" s="4"/>
      <c r="J57" s="1"/>
    </row>
    <row r="58" spans="3:10">
      <c r="C58" s="4"/>
      <c r="F58" s="4"/>
      <c r="J58" s="1"/>
    </row>
    <row r="59" spans="3:10">
      <c r="C59" s="4"/>
      <c r="F59" s="4"/>
      <c r="J59" s="1"/>
    </row>
    <row r="60" spans="3:10">
      <c r="C60" s="4"/>
      <c r="F60" s="4"/>
      <c r="J60" s="1"/>
    </row>
    <row r="61" spans="3:10">
      <c r="C61" s="4"/>
      <c r="J61" s="1"/>
    </row>
    <row r="62" spans="3:10">
      <c r="C62" s="4"/>
      <c r="J62" s="1"/>
    </row>
    <row r="63" spans="3:10">
      <c r="C63" s="4"/>
      <c r="F63" s="4"/>
      <c r="J63" s="1"/>
    </row>
    <row r="64" spans="3:10">
      <c r="C64" s="4"/>
      <c r="F64" s="4"/>
      <c r="J64" s="1"/>
    </row>
    <row r="65" spans="3:13">
      <c r="C65" s="4"/>
      <c r="F65" s="4"/>
      <c r="J65" s="1"/>
    </row>
    <row r="66" spans="3:13">
      <c r="C66" s="4"/>
      <c r="F66" s="4"/>
      <c r="J66" s="1"/>
    </row>
    <row r="67" spans="3:13">
      <c r="C67" s="4"/>
      <c r="F67" s="4"/>
      <c r="J67" s="1"/>
    </row>
    <row r="68" spans="3:13">
      <c r="C68" s="4"/>
      <c r="F68" s="4"/>
      <c r="J68" s="1"/>
    </row>
    <row r="69" spans="3:13">
      <c r="C69" s="4"/>
      <c r="F69" s="4"/>
      <c r="J69" s="1"/>
    </row>
    <row r="70" spans="3:13">
      <c r="C70" s="4"/>
      <c r="F70" s="4"/>
      <c r="J70" s="1"/>
    </row>
    <row r="71" spans="3:13">
      <c r="C71" s="4"/>
      <c r="F71" s="4"/>
      <c r="J71" s="1"/>
    </row>
    <row r="72" spans="3:13">
      <c r="C72" s="4"/>
      <c r="F72" s="4"/>
      <c r="J72" s="1"/>
    </row>
    <row r="73" spans="3:13">
      <c r="C73" s="4"/>
      <c r="F73" s="4"/>
      <c r="J73" s="1"/>
    </row>
    <row r="74" spans="3:13">
      <c r="C74" s="4"/>
      <c r="F74" s="4"/>
      <c r="J74" s="1"/>
    </row>
    <row r="75" spans="3:13">
      <c r="C75" s="4"/>
      <c r="F75" s="4"/>
      <c r="J75" s="1"/>
      <c r="M75" s="4"/>
    </row>
    <row r="76" spans="3:13">
      <c r="C76" s="4"/>
      <c r="F76" s="4"/>
      <c r="J76" s="1"/>
    </row>
    <row r="77" spans="3:13">
      <c r="C77" s="4"/>
      <c r="F77" s="4"/>
      <c r="J77" s="1"/>
    </row>
    <row r="78" spans="3:13">
      <c r="C78" s="4"/>
      <c r="F78" s="4"/>
      <c r="J78" s="1"/>
    </row>
    <row r="79" spans="3:13">
      <c r="C79" s="4"/>
      <c r="F79" s="4"/>
      <c r="J79" s="1"/>
    </row>
    <row r="80" spans="3:13">
      <c r="C80" s="4"/>
      <c r="F80" s="4"/>
      <c r="J80" s="1"/>
    </row>
    <row r="81" spans="3:10">
      <c r="C81" s="4"/>
      <c r="F81" s="4"/>
      <c r="J81" s="1"/>
    </row>
    <row r="82" spans="3:10">
      <c r="C82" s="4"/>
      <c r="F82" s="4"/>
      <c r="J82" s="1"/>
    </row>
    <row r="83" spans="3:10">
      <c r="C83" s="4"/>
      <c r="F83" s="4"/>
      <c r="J83" s="1"/>
    </row>
    <row r="84" spans="3:10">
      <c r="C84" s="4"/>
      <c r="F84" s="4"/>
      <c r="J84" s="1"/>
    </row>
    <row r="85" spans="3:10">
      <c r="C85" s="4"/>
      <c r="F85" s="4"/>
      <c r="J85" s="1"/>
    </row>
    <row r="86" spans="3:10">
      <c r="C86" s="4"/>
      <c r="F86" s="4"/>
      <c r="J86" s="1"/>
    </row>
    <row r="87" spans="3:10">
      <c r="C87" s="4"/>
      <c r="F87" s="4"/>
      <c r="J87" s="1"/>
    </row>
    <row r="88" spans="3:10">
      <c r="C88" s="4"/>
      <c r="F88" s="4"/>
      <c r="J88" s="1"/>
    </row>
    <row r="89" spans="3:10">
      <c r="C89" s="4"/>
      <c r="F89" s="4"/>
      <c r="J89" s="1"/>
    </row>
    <row r="90" spans="3:10">
      <c r="C90" s="4"/>
      <c r="F90" s="4"/>
      <c r="J90" s="1"/>
    </row>
    <row r="91" spans="3:10">
      <c r="C91" s="4"/>
      <c r="F91" s="4"/>
      <c r="J91" s="1"/>
    </row>
    <row r="92" spans="3:10">
      <c r="C92" s="4"/>
      <c r="F92" s="4"/>
      <c r="J92" s="1"/>
    </row>
    <row r="93" spans="3:10">
      <c r="C93" s="4"/>
      <c r="F93" s="4"/>
      <c r="J93" s="1"/>
    </row>
    <row r="94" spans="3:10">
      <c r="C94" s="4"/>
      <c r="F94" s="4"/>
      <c r="J94" s="1"/>
    </row>
    <row r="95" spans="3:10">
      <c r="C95" s="4"/>
      <c r="F95" s="4"/>
      <c r="J95" s="1"/>
    </row>
    <row r="96" spans="3:10">
      <c r="C96" s="4"/>
      <c r="F96" s="4"/>
      <c r="J96" s="1"/>
    </row>
    <row r="97" spans="3:10">
      <c r="C97" s="4"/>
      <c r="J97" s="1"/>
    </row>
    <row r="98" spans="3:10">
      <c r="C98" s="4"/>
      <c r="J98" s="1"/>
    </row>
    <row r="99" spans="3:10">
      <c r="C99" s="4"/>
      <c r="J99" s="1"/>
    </row>
    <row r="100" spans="3:10">
      <c r="C100" s="4"/>
      <c r="F100" s="4"/>
      <c r="J100" s="1"/>
    </row>
    <row r="101" spans="3:10">
      <c r="C101" s="4"/>
      <c r="F101" s="4"/>
      <c r="J101" s="1"/>
    </row>
    <row r="102" spans="3:10">
      <c r="C102" s="4"/>
      <c r="F102" s="4"/>
      <c r="J102" s="1"/>
    </row>
    <row r="103" spans="3:10">
      <c r="C103" s="4"/>
      <c r="F103" s="4"/>
      <c r="J103" s="1"/>
    </row>
    <row r="104" spans="3:10">
      <c r="C104" s="4"/>
      <c r="F104" s="4"/>
      <c r="J104" s="1"/>
    </row>
    <row r="105" spans="3:10">
      <c r="C105" s="4"/>
      <c r="F105" s="4"/>
      <c r="J105" s="1"/>
    </row>
    <row r="106" spans="3:10">
      <c r="C106" s="4"/>
      <c r="J106" s="1"/>
    </row>
    <row r="107" spans="3:10">
      <c r="C107" s="4"/>
      <c r="F107" s="4"/>
      <c r="J107" s="1"/>
    </row>
    <row r="108" spans="3:10">
      <c r="C108" s="4"/>
      <c r="F108" s="4"/>
      <c r="J108" s="1"/>
    </row>
    <row r="109" spans="3:10">
      <c r="C109" s="4"/>
      <c r="F109" s="4"/>
      <c r="J109" s="1"/>
    </row>
    <row r="110" spans="3:10">
      <c r="C110" s="4"/>
      <c r="F110" s="4"/>
      <c r="J110" s="1"/>
    </row>
    <row r="111" spans="3:10">
      <c r="C111" s="4"/>
      <c r="F111" s="4"/>
      <c r="J111" s="1"/>
    </row>
    <row r="112" spans="3:10">
      <c r="C112" s="4"/>
      <c r="F112" s="4"/>
      <c r="J112" s="1"/>
    </row>
    <row r="113" spans="3:10">
      <c r="C113" s="4"/>
      <c r="F113" s="4"/>
      <c r="J113" s="1"/>
    </row>
    <row r="114" spans="3:10">
      <c r="C114" s="4"/>
      <c r="J114" s="1"/>
    </row>
    <row r="115" spans="3:10">
      <c r="C115" s="4"/>
      <c r="J115" s="1"/>
    </row>
    <row r="116" spans="3:10">
      <c r="C116" s="4"/>
      <c r="J116" s="1"/>
    </row>
    <row r="117" spans="3:10">
      <c r="C117" s="4"/>
      <c r="J117" s="1"/>
    </row>
    <row r="118" spans="3:10">
      <c r="C118" s="4"/>
      <c r="J118" s="1"/>
    </row>
    <row r="119" spans="3:10">
      <c r="C119" s="4"/>
      <c r="J119" s="1"/>
    </row>
    <row r="120" spans="3:10">
      <c r="C120" s="4"/>
      <c r="J120" s="1"/>
    </row>
    <row r="121" spans="3:10">
      <c r="C121" s="4"/>
      <c r="F121" s="4"/>
      <c r="J121" s="1"/>
    </row>
    <row r="122" spans="3:10">
      <c r="C122" s="4"/>
      <c r="F122" s="4"/>
      <c r="J122" s="1"/>
    </row>
    <row r="123" spans="3:10">
      <c r="C123" s="4"/>
      <c r="F123" s="4"/>
      <c r="J123" s="1"/>
    </row>
  </sheetData>
  <customSheetViews>
    <customSheetView guid="{2D7AA37D-8C06-47FC-8F44-3FA6E78D04F2}" state="hidden">
      <selection sqref="A1:M23"/>
      <pageMargins left="0.7" right="0.7" top="0.75" bottom="0.75" header="0.3" footer="0.3"/>
      <pageSetup orientation="portrait" r:id="rId1"/>
    </customSheetView>
    <customSheetView guid="{9C8ADCBA-1E8C-4961-B877-3E192DBDFA7A}" showPageBreaks="1">
      <selection sqref="A1:M10"/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L75"/>
  <sheetViews>
    <sheetView workbookViewId="0">
      <selection sqref="A1:M32"/>
    </sheetView>
  </sheetViews>
  <sheetFormatPr defaultRowHeight="14.25"/>
  <cols>
    <col min="1" max="1" width="14.3984375" customWidth="1"/>
    <col min="3" max="3" width="13.3984375" customWidth="1"/>
    <col min="7" max="7" width="13.3984375" customWidth="1"/>
    <col min="8" max="8" width="12.86328125" customWidth="1"/>
  </cols>
  <sheetData>
    <row r="1" spans="1:12">
      <c r="A1" t="s">
        <v>11</v>
      </c>
      <c r="B1" t="s">
        <v>12</v>
      </c>
      <c r="C1" s="2" t="s">
        <v>309</v>
      </c>
      <c r="D1" t="s">
        <v>305</v>
      </c>
      <c r="E1" t="s">
        <v>307</v>
      </c>
      <c r="F1" t="s">
        <v>321</v>
      </c>
      <c r="G1" t="s">
        <v>13</v>
      </c>
      <c r="H1" t="s">
        <v>324</v>
      </c>
      <c r="I1" t="s">
        <v>422</v>
      </c>
      <c r="J1" t="s">
        <v>453</v>
      </c>
      <c r="K1" t="s">
        <v>454</v>
      </c>
      <c r="L1" s="4" t="s">
        <v>506</v>
      </c>
    </row>
    <row r="2" spans="1:12">
      <c r="A2" t="s">
        <v>486</v>
      </c>
      <c r="B2">
        <v>-2</v>
      </c>
      <c r="C2" s="4" t="s">
        <v>397</v>
      </c>
      <c r="D2">
        <v>108.27</v>
      </c>
      <c r="E2">
        <v>-216.54</v>
      </c>
      <c r="F2" t="s">
        <v>184</v>
      </c>
      <c r="G2" s="1">
        <v>45964</v>
      </c>
      <c r="H2" t="s">
        <v>325</v>
      </c>
      <c r="I2">
        <v>1</v>
      </c>
      <c r="J2" t="b">
        <v>1</v>
      </c>
      <c r="K2" t="b">
        <v>0</v>
      </c>
      <c r="L2" s="4" t="s">
        <v>291</v>
      </c>
    </row>
    <row r="3" spans="1:12">
      <c r="A3" t="s">
        <v>473</v>
      </c>
      <c r="B3">
        <v>-1</v>
      </c>
      <c r="C3" s="4" t="s">
        <v>377</v>
      </c>
      <c r="D3">
        <v>102.24</v>
      </c>
      <c r="E3">
        <v>-102.24</v>
      </c>
      <c r="F3" t="s">
        <v>184</v>
      </c>
      <c r="G3" s="1">
        <v>45901</v>
      </c>
      <c r="H3" t="s">
        <v>325</v>
      </c>
      <c r="I3">
        <v>1</v>
      </c>
      <c r="J3" t="b">
        <v>1</v>
      </c>
      <c r="K3" t="b">
        <v>0</v>
      </c>
      <c r="L3" s="4" t="s">
        <v>507</v>
      </c>
    </row>
    <row r="4" spans="1:12">
      <c r="A4" t="s">
        <v>483</v>
      </c>
      <c r="B4">
        <v>-1</v>
      </c>
      <c r="C4" s="4" t="s">
        <v>394</v>
      </c>
      <c r="D4">
        <v>385</v>
      </c>
      <c r="E4">
        <v>-385</v>
      </c>
      <c r="F4" t="s">
        <v>181</v>
      </c>
      <c r="G4" s="1">
        <v>46028</v>
      </c>
      <c r="H4" t="s">
        <v>325</v>
      </c>
      <c r="I4">
        <v>1</v>
      </c>
      <c r="J4" t="b">
        <v>1</v>
      </c>
      <c r="K4" t="b">
        <v>0</v>
      </c>
      <c r="L4" s="4" t="s">
        <v>234</v>
      </c>
    </row>
    <row r="5" spans="1:12">
      <c r="A5" t="s">
        <v>804</v>
      </c>
      <c r="B5">
        <v>-1</v>
      </c>
      <c r="C5" s="4" t="s">
        <v>380</v>
      </c>
      <c r="D5">
        <v>28.95</v>
      </c>
      <c r="E5">
        <v>-28.95</v>
      </c>
      <c r="F5" t="s">
        <v>178</v>
      </c>
      <c r="G5" s="1">
        <v>46058</v>
      </c>
      <c r="H5" t="s">
        <v>325</v>
      </c>
      <c r="I5">
        <v>0</v>
      </c>
      <c r="J5" t="b">
        <v>1</v>
      </c>
      <c r="K5" t="b">
        <v>0</v>
      </c>
      <c r="L5" s="4" t="s">
        <v>278</v>
      </c>
    </row>
    <row r="6" spans="1:12">
      <c r="A6" t="s">
        <v>427</v>
      </c>
      <c r="B6">
        <v>0</v>
      </c>
      <c r="C6" s="4" t="s">
        <v>525</v>
      </c>
      <c r="D6">
        <v>130</v>
      </c>
      <c r="E6">
        <v>0</v>
      </c>
      <c r="F6" t="s">
        <v>182</v>
      </c>
      <c r="G6" s="1">
        <v>45958</v>
      </c>
      <c r="H6" t="s">
        <v>325</v>
      </c>
      <c r="I6">
        <v>1</v>
      </c>
      <c r="J6" t="b">
        <v>1</v>
      </c>
      <c r="K6" t="b">
        <v>1</v>
      </c>
      <c r="L6" s="4" t="s">
        <v>429</v>
      </c>
    </row>
    <row r="7" spans="1:12">
      <c r="A7" t="s">
        <v>332</v>
      </c>
      <c r="B7">
        <v>0</v>
      </c>
      <c r="C7" s="4" t="s">
        <v>372</v>
      </c>
      <c r="D7">
        <v>400</v>
      </c>
      <c r="E7">
        <v>0</v>
      </c>
      <c r="F7" t="s">
        <v>177</v>
      </c>
      <c r="G7" s="1">
        <v>45952</v>
      </c>
      <c r="H7" t="s">
        <v>325</v>
      </c>
      <c r="I7">
        <v>1</v>
      </c>
      <c r="J7" t="b">
        <v>1</v>
      </c>
      <c r="K7" t="b">
        <v>1</v>
      </c>
      <c r="L7" s="4" t="s">
        <v>265</v>
      </c>
    </row>
    <row r="8" spans="1:12">
      <c r="A8" t="s">
        <v>478</v>
      </c>
      <c r="B8">
        <v>0</v>
      </c>
      <c r="C8" s="4" t="s">
        <v>386</v>
      </c>
      <c r="D8">
        <v>155.69999999999999</v>
      </c>
      <c r="E8">
        <v>0</v>
      </c>
      <c r="F8" t="s">
        <v>184</v>
      </c>
      <c r="G8" s="1">
        <v>45778</v>
      </c>
      <c r="H8" t="s">
        <v>325</v>
      </c>
      <c r="I8">
        <v>1</v>
      </c>
      <c r="J8" t="b">
        <v>1</v>
      </c>
      <c r="K8" t="b">
        <v>1</v>
      </c>
      <c r="L8" s="4" t="s">
        <v>283</v>
      </c>
    </row>
    <row r="9" spans="1:12">
      <c r="A9" t="s">
        <v>759</v>
      </c>
      <c r="B9">
        <v>0</v>
      </c>
      <c r="C9" s="4" t="s">
        <v>753</v>
      </c>
      <c r="D9">
        <v>76.58</v>
      </c>
      <c r="E9">
        <v>0</v>
      </c>
      <c r="F9" t="s">
        <v>184</v>
      </c>
      <c r="G9" s="1">
        <v>45435</v>
      </c>
      <c r="H9" t="s">
        <v>325</v>
      </c>
      <c r="I9">
        <v>1</v>
      </c>
      <c r="J9" t="b">
        <v>1</v>
      </c>
      <c r="K9" t="b">
        <v>1</v>
      </c>
    </row>
    <row r="10" spans="1:12">
      <c r="A10" t="s">
        <v>462</v>
      </c>
      <c r="B10">
        <v>0</v>
      </c>
      <c r="C10" s="4" t="s">
        <v>353</v>
      </c>
      <c r="D10">
        <v>179.32</v>
      </c>
      <c r="E10">
        <v>0</v>
      </c>
      <c r="F10" t="s">
        <v>180</v>
      </c>
      <c r="G10" s="1">
        <v>45650</v>
      </c>
      <c r="H10" t="s">
        <v>325</v>
      </c>
      <c r="I10">
        <v>1</v>
      </c>
      <c r="J10" t="b">
        <v>1</v>
      </c>
      <c r="K10" t="b">
        <v>1</v>
      </c>
      <c r="L10" s="4" t="s">
        <v>243</v>
      </c>
    </row>
    <row r="11" spans="1:12">
      <c r="A11" t="s">
        <v>505</v>
      </c>
      <c r="B11">
        <v>0</v>
      </c>
      <c r="C11" s="4" t="s">
        <v>421</v>
      </c>
      <c r="D11">
        <v>393</v>
      </c>
      <c r="E11">
        <v>0</v>
      </c>
      <c r="F11" t="s">
        <v>179</v>
      </c>
      <c r="G11" s="1">
        <v>45566</v>
      </c>
      <c r="H11" t="s">
        <v>325</v>
      </c>
      <c r="I11">
        <v>1</v>
      </c>
      <c r="J11" t="b">
        <v>1</v>
      </c>
      <c r="K11" t="b">
        <v>1</v>
      </c>
      <c r="L11" s="4" t="s">
        <v>513</v>
      </c>
    </row>
    <row r="12" spans="1:12">
      <c r="A12" t="s">
        <v>866</v>
      </c>
      <c r="B12">
        <v>0</v>
      </c>
      <c r="C12">
        <v>6006535</v>
      </c>
      <c r="D12">
        <v>497.92</v>
      </c>
      <c r="E12">
        <v>0</v>
      </c>
      <c r="F12" t="s">
        <v>182</v>
      </c>
      <c r="G12" s="1">
        <v>45442</v>
      </c>
      <c r="H12" t="s">
        <v>325</v>
      </c>
      <c r="I12">
        <v>1</v>
      </c>
      <c r="J12" t="b">
        <v>1</v>
      </c>
      <c r="K12" t="b">
        <v>1</v>
      </c>
      <c r="L12" t="s">
        <v>869</v>
      </c>
    </row>
    <row r="13" spans="1:12">
      <c r="A13" t="s">
        <v>495</v>
      </c>
      <c r="B13">
        <v>0</v>
      </c>
      <c r="C13" s="4" t="s">
        <v>348</v>
      </c>
      <c r="D13">
        <v>140</v>
      </c>
      <c r="E13">
        <v>0</v>
      </c>
      <c r="F13" t="s">
        <v>176</v>
      </c>
      <c r="G13" s="1">
        <v>45280</v>
      </c>
      <c r="H13" t="s">
        <v>325</v>
      </c>
      <c r="I13">
        <v>1</v>
      </c>
      <c r="J13" t="b">
        <v>1</v>
      </c>
      <c r="K13" t="b">
        <v>1</v>
      </c>
      <c r="L13" s="4" t="s">
        <v>227</v>
      </c>
    </row>
    <row r="14" spans="1:12">
      <c r="A14" t="s">
        <v>334</v>
      </c>
      <c r="B14">
        <v>0</v>
      </c>
      <c r="C14" s="4" t="s">
        <v>393</v>
      </c>
      <c r="D14">
        <v>226</v>
      </c>
      <c r="E14">
        <v>0</v>
      </c>
      <c r="F14" t="s">
        <v>177</v>
      </c>
      <c r="G14" s="1">
        <v>45196</v>
      </c>
      <c r="H14" t="s">
        <v>325</v>
      </c>
      <c r="I14">
        <v>1</v>
      </c>
      <c r="J14" t="b">
        <v>1</v>
      </c>
      <c r="K14" t="b">
        <v>1</v>
      </c>
      <c r="L14" s="4" t="s">
        <v>284</v>
      </c>
    </row>
    <row r="15" spans="1:12">
      <c r="A15" t="s">
        <v>488</v>
      </c>
      <c r="B15">
        <v>0</v>
      </c>
      <c r="C15" s="4" t="s">
        <v>400</v>
      </c>
      <c r="D15">
        <v>47.1</v>
      </c>
      <c r="E15">
        <v>0</v>
      </c>
      <c r="F15" t="s">
        <v>176</v>
      </c>
      <c r="G15" s="1">
        <v>45196</v>
      </c>
      <c r="H15" t="s">
        <v>325</v>
      </c>
      <c r="I15">
        <v>1</v>
      </c>
      <c r="J15" t="b">
        <v>1</v>
      </c>
      <c r="K15" t="b">
        <v>1</v>
      </c>
      <c r="L15" s="4" t="s">
        <v>280</v>
      </c>
    </row>
    <row r="16" spans="1:12">
      <c r="A16" t="s">
        <v>444</v>
      </c>
      <c r="B16">
        <v>0</v>
      </c>
      <c r="C16" s="4" t="s">
        <v>522</v>
      </c>
      <c r="D16">
        <v>19</v>
      </c>
      <c r="E16">
        <v>0</v>
      </c>
      <c r="F16" t="s">
        <v>176</v>
      </c>
      <c r="G16" s="1">
        <v>45274</v>
      </c>
      <c r="H16" t="s">
        <v>325</v>
      </c>
      <c r="I16">
        <v>1</v>
      </c>
      <c r="J16" t="b">
        <v>1</v>
      </c>
      <c r="K16" t="b">
        <v>1</v>
      </c>
      <c r="L16" s="4" t="s">
        <v>446</v>
      </c>
    </row>
    <row r="17" spans="1:12">
      <c r="A17" t="s">
        <v>336</v>
      </c>
      <c r="B17">
        <v>0</v>
      </c>
      <c r="C17" s="4" t="s">
        <v>374</v>
      </c>
      <c r="D17">
        <v>321</v>
      </c>
      <c r="E17">
        <v>0</v>
      </c>
      <c r="F17" t="s">
        <v>177</v>
      </c>
      <c r="G17" s="1">
        <v>45300</v>
      </c>
      <c r="H17" t="s">
        <v>326</v>
      </c>
      <c r="I17">
        <v>1</v>
      </c>
      <c r="J17" t="b">
        <v>1</v>
      </c>
      <c r="K17" t="b">
        <v>1</v>
      </c>
      <c r="L17" s="4" t="s">
        <v>271</v>
      </c>
    </row>
    <row r="18" spans="1:12">
      <c r="A18" t="s">
        <v>928</v>
      </c>
      <c r="B18">
        <v>0</v>
      </c>
      <c r="C18" s="4" t="s">
        <v>376</v>
      </c>
      <c r="D18">
        <v>214.2</v>
      </c>
      <c r="E18">
        <v>0</v>
      </c>
      <c r="F18" t="s">
        <v>177</v>
      </c>
      <c r="G18" s="1">
        <v>45196</v>
      </c>
      <c r="H18" t="s">
        <v>326</v>
      </c>
      <c r="I18">
        <v>1</v>
      </c>
      <c r="J18" t="b">
        <v>1</v>
      </c>
      <c r="K18" t="b">
        <v>1</v>
      </c>
      <c r="L18" s="4" t="s">
        <v>255</v>
      </c>
    </row>
    <row r="19" spans="1:12">
      <c r="A19" t="s">
        <v>929</v>
      </c>
      <c r="B19">
        <v>0</v>
      </c>
      <c r="C19" s="4" t="s">
        <v>392</v>
      </c>
      <c r="D19">
        <v>431</v>
      </c>
      <c r="E19">
        <v>0</v>
      </c>
      <c r="F19" t="s">
        <v>177</v>
      </c>
      <c r="G19" s="1">
        <v>45196</v>
      </c>
      <c r="H19" t="s">
        <v>326</v>
      </c>
      <c r="I19">
        <v>1</v>
      </c>
      <c r="J19" t="b">
        <v>1</v>
      </c>
      <c r="K19" t="b">
        <v>1</v>
      </c>
      <c r="L19" s="4" t="s">
        <v>244</v>
      </c>
    </row>
    <row r="20" spans="1:12">
      <c r="A20" t="s">
        <v>976</v>
      </c>
      <c r="B20">
        <v>0</v>
      </c>
      <c r="C20" s="4" t="s">
        <v>367</v>
      </c>
      <c r="D20">
        <v>166.18</v>
      </c>
      <c r="E20">
        <v>0</v>
      </c>
      <c r="F20" t="s">
        <v>179</v>
      </c>
      <c r="G20" s="1">
        <v>45587</v>
      </c>
      <c r="H20" t="s">
        <v>325</v>
      </c>
      <c r="I20">
        <v>1</v>
      </c>
      <c r="J20" t="b">
        <v>1</v>
      </c>
      <c r="K20" t="b">
        <v>1</v>
      </c>
      <c r="L20" s="4" t="s">
        <v>274</v>
      </c>
    </row>
    <row r="21" spans="1:12">
      <c r="A21" t="s">
        <v>484</v>
      </c>
      <c r="B21">
        <v>0</v>
      </c>
      <c r="C21" s="4" t="s">
        <v>395</v>
      </c>
      <c r="D21">
        <v>92.7</v>
      </c>
      <c r="E21">
        <v>0</v>
      </c>
      <c r="F21" t="s">
        <v>184</v>
      </c>
      <c r="G21" s="1">
        <v>45666</v>
      </c>
      <c r="H21" t="s">
        <v>325</v>
      </c>
      <c r="I21">
        <v>1</v>
      </c>
      <c r="J21" t="b">
        <v>1</v>
      </c>
      <c r="K21" t="b">
        <v>1</v>
      </c>
      <c r="L21" s="4" t="s">
        <v>297</v>
      </c>
    </row>
    <row r="22" spans="1:12">
      <c r="A22" t="s">
        <v>792</v>
      </c>
      <c r="B22">
        <v>0</v>
      </c>
      <c r="C22" s="4" t="s">
        <v>388</v>
      </c>
      <c r="D22">
        <v>106.41</v>
      </c>
      <c r="E22">
        <v>0</v>
      </c>
      <c r="F22" t="s">
        <v>178</v>
      </c>
      <c r="G22" s="1">
        <v>44950</v>
      </c>
      <c r="H22" t="s">
        <v>325</v>
      </c>
      <c r="I22">
        <v>1</v>
      </c>
      <c r="J22" t="b">
        <v>1</v>
      </c>
      <c r="K22" t="b">
        <v>1</v>
      </c>
      <c r="L22" s="4" t="s">
        <v>273</v>
      </c>
    </row>
    <row r="23" spans="1:12">
      <c r="A23" t="s">
        <v>117</v>
      </c>
      <c r="B23">
        <v>0</v>
      </c>
      <c r="C23" s="4" t="s">
        <v>408</v>
      </c>
      <c r="D23">
        <v>144</v>
      </c>
      <c r="E23">
        <v>0</v>
      </c>
      <c r="F23" t="s">
        <v>176</v>
      </c>
      <c r="G23" s="1">
        <v>45826</v>
      </c>
      <c r="H23" t="s">
        <v>325</v>
      </c>
      <c r="I23">
        <v>1</v>
      </c>
      <c r="J23" t="b">
        <v>1</v>
      </c>
      <c r="K23" t="b">
        <v>1</v>
      </c>
      <c r="L23" s="4" t="s">
        <v>224</v>
      </c>
    </row>
    <row r="24" spans="1:12">
      <c r="A24" t="s">
        <v>896</v>
      </c>
      <c r="B24">
        <v>0</v>
      </c>
      <c r="C24">
        <v>5009119</v>
      </c>
      <c r="D24">
        <v>211.18</v>
      </c>
      <c r="E24">
        <v>0</v>
      </c>
      <c r="F24" t="s">
        <v>178</v>
      </c>
      <c r="G24" s="1">
        <v>45859</v>
      </c>
      <c r="H24" t="s">
        <v>325</v>
      </c>
      <c r="I24">
        <v>1</v>
      </c>
      <c r="J24" t="b">
        <v>1</v>
      </c>
      <c r="K24" t="b">
        <v>1</v>
      </c>
      <c r="L24">
        <v>60050009</v>
      </c>
    </row>
    <row r="25" spans="1:12">
      <c r="A25" t="s">
        <v>801</v>
      </c>
      <c r="B25">
        <v>0</v>
      </c>
      <c r="C25" s="4" t="s">
        <v>412</v>
      </c>
      <c r="D25">
        <v>124.25</v>
      </c>
      <c r="E25">
        <v>0</v>
      </c>
      <c r="F25" t="s">
        <v>184</v>
      </c>
      <c r="G25" s="1">
        <v>45960</v>
      </c>
      <c r="H25" t="s">
        <v>325</v>
      </c>
      <c r="I25">
        <v>1</v>
      </c>
      <c r="J25" t="b">
        <v>1</v>
      </c>
      <c r="K25" t="b">
        <v>1</v>
      </c>
      <c r="L25" s="4" t="s">
        <v>509</v>
      </c>
    </row>
    <row r="26" spans="1:12">
      <c r="A26" t="s">
        <v>424</v>
      </c>
      <c r="B26">
        <v>0</v>
      </c>
      <c r="C26" s="4" t="s">
        <v>528</v>
      </c>
      <c r="D26">
        <v>560.78</v>
      </c>
      <c r="E26">
        <v>0</v>
      </c>
      <c r="F26" t="s">
        <v>186</v>
      </c>
      <c r="G26" s="1">
        <v>46042</v>
      </c>
      <c r="H26" t="s">
        <v>325</v>
      </c>
      <c r="I26">
        <v>1</v>
      </c>
      <c r="J26" t="b">
        <v>1</v>
      </c>
      <c r="K26" t="b">
        <v>1</v>
      </c>
      <c r="L26" s="4" t="s">
        <v>515</v>
      </c>
    </row>
    <row r="27" spans="1:12">
      <c r="A27" t="s">
        <v>809</v>
      </c>
      <c r="C27" s="4" t="s">
        <v>522</v>
      </c>
      <c r="D27">
        <v>19</v>
      </c>
      <c r="E27">
        <v>0</v>
      </c>
      <c r="F27" t="s">
        <v>176</v>
      </c>
      <c r="G27" s="1">
        <v>45274</v>
      </c>
      <c r="H27" t="s">
        <v>325</v>
      </c>
      <c r="I27">
        <v>1</v>
      </c>
      <c r="J27" t="b">
        <v>1</v>
      </c>
      <c r="K27" t="b">
        <v>1</v>
      </c>
      <c r="L27" s="4" t="s">
        <v>445</v>
      </c>
    </row>
    <row r="28" spans="1:12">
      <c r="A28" t="s">
        <v>812</v>
      </c>
      <c r="C28" s="4" t="s">
        <v>404</v>
      </c>
      <c r="D28">
        <v>80.5</v>
      </c>
      <c r="E28">
        <v>0</v>
      </c>
      <c r="F28" t="s">
        <v>186</v>
      </c>
      <c r="G28" s="1">
        <v>45196</v>
      </c>
      <c r="H28" t="s">
        <v>325</v>
      </c>
      <c r="I28">
        <v>1</v>
      </c>
      <c r="J28" t="b">
        <v>1</v>
      </c>
      <c r="K28" t="b">
        <v>1</v>
      </c>
      <c r="L28" s="4" t="s">
        <v>294</v>
      </c>
    </row>
    <row r="29" spans="1:12">
      <c r="A29" t="s">
        <v>494</v>
      </c>
      <c r="C29" s="4" t="s">
        <v>405</v>
      </c>
      <c r="D29">
        <v>2.7</v>
      </c>
      <c r="E29">
        <v>0</v>
      </c>
      <c r="F29" t="s">
        <v>176</v>
      </c>
      <c r="G29" s="1">
        <v>45196</v>
      </c>
      <c r="H29" t="s">
        <v>325</v>
      </c>
      <c r="I29">
        <v>1</v>
      </c>
      <c r="J29" t="b">
        <v>1</v>
      </c>
      <c r="K29" t="b">
        <v>1</v>
      </c>
      <c r="L29" s="4" t="s">
        <v>225</v>
      </c>
    </row>
    <row r="30" spans="1:12">
      <c r="A30" t="s">
        <v>497</v>
      </c>
      <c r="C30" s="4" t="s">
        <v>406</v>
      </c>
      <c r="D30">
        <v>33</v>
      </c>
      <c r="E30">
        <v>0</v>
      </c>
      <c r="F30" t="s">
        <v>176</v>
      </c>
      <c r="G30" s="1">
        <v>45196</v>
      </c>
      <c r="H30" t="s">
        <v>325</v>
      </c>
      <c r="I30">
        <v>1</v>
      </c>
      <c r="J30" t="b">
        <v>1</v>
      </c>
      <c r="K30" t="b">
        <v>1</v>
      </c>
      <c r="L30" s="4" t="s">
        <v>270</v>
      </c>
    </row>
    <row r="31" spans="1:12">
      <c r="A31" t="s">
        <v>450</v>
      </c>
      <c r="C31" s="4" t="s">
        <v>348</v>
      </c>
      <c r="D31">
        <v>4.95</v>
      </c>
      <c r="E31">
        <v>0</v>
      </c>
      <c r="F31" t="s">
        <v>176</v>
      </c>
      <c r="G31" s="1">
        <v>45274</v>
      </c>
      <c r="H31" t="s">
        <v>325</v>
      </c>
      <c r="I31">
        <v>1</v>
      </c>
      <c r="J31" t="b">
        <v>1</v>
      </c>
      <c r="K31" t="b">
        <v>1</v>
      </c>
      <c r="L31" s="4" t="s">
        <v>452</v>
      </c>
    </row>
    <row r="32" spans="1:12">
      <c r="A32" t="s">
        <v>817</v>
      </c>
      <c r="C32" s="4" t="s">
        <v>414</v>
      </c>
      <c r="D32">
        <v>287</v>
      </c>
      <c r="E32">
        <v>0</v>
      </c>
      <c r="F32" t="s">
        <v>182</v>
      </c>
      <c r="G32" s="1">
        <v>45196</v>
      </c>
      <c r="H32" t="s">
        <v>326</v>
      </c>
      <c r="I32">
        <v>1</v>
      </c>
      <c r="J32" t="b">
        <v>1</v>
      </c>
      <c r="K32" t="b">
        <v>1</v>
      </c>
      <c r="L32" s="4" t="s">
        <v>511</v>
      </c>
    </row>
    <row r="33" spans="3:12">
      <c r="C33" s="4"/>
      <c r="G33" s="1"/>
      <c r="L33" s="4"/>
    </row>
    <row r="34" spans="3:12">
      <c r="C34" s="4"/>
      <c r="G34" s="1"/>
      <c r="L34" s="4"/>
    </row>
    <row r="35" spans="3:12">
      <c r="C35" s="4"/>
      <c r="G35" s="1"/>
      <c r="L35" s="4"/>
    </row>
    <row r="36" spans="3:12">
      <c r="C36" s="4"/>
      <c r="G36" s="1"/>
      <c r="L36" s="4"/>
    </row>
    <row r="37" spans="3:12">
      <c r="C37" s="4"/>
      <c r="G37" s="1"/>
      <c r="L37" s="4"/>
    </row>
    <row r="38" spans="3:12">
      <c r="C38" s="4"/>
      <c r="G38" s="1"/>
      <c r="L38" s="4"/>
    </row>
    <row r="39" spans="3:12">
      <c r="C39" s="4"/>
      <c r="G39" s="1"/>
      <c r="L39" s="4"/>
    </row>
    <row r="40" spans="3:12">
      <c r="C40" s="4"/>
      <c r="G40" s="1"/>
      <c r="L40" s="4"/>
    </row>
    <row r="41" spans="3:12">
      <c r="C41" s="4"/>
      <c r="G41" s="1"/>
      <c r="L41" s="4"/>
    </row>
    <row r="42" spans="3:12">
      <c r="C42" s="4"/>
      <c r="G42" s="1"/>
      <c r="L42" s="4"/>
    </row>
    <row r="43" spans="3:12">
      <c r="C43" s="4"/>
      <c r="G43" s="1"/>
      <c r="L43" s="4"/>
    </row>
    <row r="44" spans="3:12">
      <c r="C44" s="4"/>
      <c r="G44" s="1"/>
      <c r="L44" s="4"/>
    </row>
    <row r="45" spans="3:12">
      <c r="C45" s="4"/>
      <c r="G45" s="1"/>
      <c r="L45" s="4"/>
    </row>
    <row r="46" spans="3:12">
      <c r="C46" s="4"/>
      <c r="G46" s="1"/>
      <c r="L46" s="4"/>
    </row>
    <row r="47" spans="3:12">
      <c r="C47" s="4"/>
      <c r="G47" s="1"/>
      <c r="L47" s="4"/>
    </row>
    <row r="48" spans="3:12">
      <c r="C48" s="4"/>
      <c r="G48" s="1"/>
      <c r="L48" s="4"/>
    </row>
    <row r="49" spans="3:12">
      <c r="C49" s="4"/>
      <c r="G49" s="1"/>
      <c r="L49" s="4"/>
    </row>
    <row r="50" spans="3:12">
      <c r="G50" s="1"/>
      <c r="L50" s="4"/>
    </row>
    <row r="51" spans="3:12">
      <c r="G51" s="1"/>
      <c r="L51" s="4"/>
    </row>
    <row r="52" spans="3:12">
      <c r="G52" s="1"/>
      <c r="L52" s="4"/>
    </row>
    <row r="53" spans="3:12">
      <c r="G53" s="1"/>
      <c r="L53" s="4"/>
    </row>
    <row r="54" spans="3:12">
      <c r="G54" s="1"/>
      <c r="L54" s="4"/>
    </row>
    <row r="55" spans="3:12">
      <c r="G55" s="1"/>
      <c r="L55" s="4"/>
    </row>
    <row r="56" spans="3:12">
      <c r="G56" s="1"/>
      <c r="L56" s="4"/>
    </row>
    <row r="57" spans="3:12">
      <c r="G57" s="1"/>
      <c r="L57" s="4"/>
    </row>
    <row r="58" spans="3:12">
      <c r="G58" s="1"/>
      <c r="L58" s="4"/>
    </row>
    <row r="59" spans="3:12">
      <c r="G59" s="1"/>
      <c r="L59" s="4"/>
    </row>
    <row r="60" spans="3:12">
      <c r="G60" s="1"/>
      <c r="L60" s="4"/>
    </row>
    <row r="61" spans="3:12">
      <c r="G61" s="1"/>
      <c r="L61" s="4"/>
    </row>
    <row r="62" spans="3:12">
      <c r="G62" s="1"/>
      <c r="L62" s="4"/>
    </row>
    <row r="63" spans="3:12">
      <c r="G63" s="1"/>
      <c r="L63" s="4"/>
    </row>
    <row r="64" spans="3:12">
      <c r="G64" s="1"/>
      <c r="L64" s="4"/>
    </row>
    <row r="65" spans="7:12">
      <c r="G65" s="1"/>
      <c r="L65" s="4"/>
    </row>
    <row r="66" spans="7:12">
      <c r="G66" s="1"/>
      <c r="L66" s="4"/>
    </row>
    <row r="67" spans="7:12">
      <c r="G67" s="1"/>
      <c r="L67" s="4"/>
    </row>
    <row r="68" spans="7:12">
      <c r="G68" s="1"/>
      <c r="L68" s="4"/>
    </row>
    <row r="69" spans="7:12">
      <c r="G69" s="1"/>
      <c r="L69" s="4"/>
    </row>
    <row r="70" spans="7:12">
      <c r="G70" s="1"/>
      <c r="L70" s="4"/>
    </row>
    <row r="71" spans="7:12">
      <c r="G71" s="1"/>
      <c r="L71" s="4"/>
    </row>
    <row r="72" spans="7:12">
      <c r="G72" s="1"/>
      <c r="L72" s="4"/>
    </row>
    <row r="73" spans="7:12">
      <c r="G73" s="1"/>
      <c r="L73" s="4"/>
    </row>
    <row r="74" spans="7:12">
      <c r="G74" s="1"/>
      <c r="L74" s="4"/>
    </row>
    <row r="75" spans="7:12">
      <c r="G75" s="1"/>
      <c r="L75" s="4"/>
    </row>
  </sheetData>
  <customSheetViews>
    <customSheetView guid="{2D7AA37D-8C06-47FC-8F44-3FA6E78D04F2}" state="hidden">
      <selection sqref="A1:M30"/>
      <pageMargins left="0.7" right="0.7" top="0.75" bottom="0.75" header="0.3" footer="0.3"/>
      <pageSetup orientation="portrait" r:id="rId1"/>
    </customSheetView>
    <customSheetView guid="{9C8ADCBA-1E8C-4961-B877-3E192DBDFA7A}" showPageBreaks="1" state="hidden">
      <selection sqref="A1:M38"/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L105"/>
  <sheetViews>
    <sheetView workbookViewId="0">
      <selection sqref="A1:M75"/>
    </sheetView>
  </sheetViews>
  <sheetFormatPr defaultRowHeight="14.25"/>
  <sheetData>
    <row r="1" spans="1:12">
      <c r="A1" t="s">
        <v>11</v>
      </c>
      <c r="B1" t="s">
        <v>12</v>
      </c>
      <c r="C1" t="s">
        <v>309</v>
      </c>
      <c r="D1" t="s">
        <v>305</v>
      </c>
      <c r="E1" t="s">
        <v>307</v>
      </c>
      <c r="F1" t="s">
        <v>321</v>
      </c>
      <c r="G1" t="s">
        <v>13</v>
      </c>
      <c r="H1" t="s">
        <v>324</v>
      </c>
      <c r="I1" t="s">
        <v>422</v>
      </c>
      <c r="J1" t="s">
        <v>453</v>
      </c>
      <c r="K1" t="s">
        <v>454</v>
      </c>
      <c r="L1" s="4" t="s">
        <v>506</v>
      </c>
    </row>
    <row r="2" spans="1:12">
      <c r="A2" t="s">
        <v>427</v>
      </c>
      <c r="B2">
        <v>0</v>
      </c>
      <c r="C2" s="4" t="s">
        <v>525</v>
      </c>
      <c r="D2">
        <v>130</v>
      </c>
      <c r="E2">
        <v>0</v>
      </c>
      <c r="F2" t="s">
        <v>182</v>
      </c>
      <c r="G2" s="1">
        <v>45958</v>
      </c>
      <c r="H2" t="s">
        <v>325</v>
      </c>
      <c r="I2">
        <v>1</v>
      </c>
      <c r="J2" t="b">
        <v>1</v>
      </c>
      <c r="K2" t="b">
        <v>1</v>
      </c>
      <c r="L2" s="4" t="s">
        <v>429</v>
      </c>
    </row>
    <row r="3" spans="1:12">
      <c r="A3" t="s">
        <v>332</v>
      </c>
      <c r="B3">
        <v>0</v>
      </c>
      <c r="C3" s="4" t="s">
        <v>372</v>
      </c>
      <c r="D3">
        <v>400</v>
      </c>
      <c r="E3">
        <v>0</v>
      </c>
      <c r="F3" t="s">
        <v>177</v>
      </c>
      <c r="G3" s="1">
        <v>45952</v>
      </c>
      <c r="H3" t="s">
        <v>325</v>
      </c>
      <c r="I3">
        <v>1</v>
      </c>
      <c r="J3" t="b">
        <v>1</v>
      </c>
      <c r="K3" t="b">
        <v>1</v>
      </c>
      <c r="L3" s="4" t="s">
        <v>265</v>
      </c>
    </row>
    <row r="4" spans="1:12">
      <c r="A4" t="s">
        <v>478</v>
      </c>
      <c r="B4">
        <v>0</v>
      </c>
      <c r="C4" s="4" t="s">
        <v>386</v>
      </c>
      <c r="D4">
        <v>155.69999999999999</v>
      </c>
      <c r="E4">
        <v>0</v>
      </c>
      <c r="F4" t="s">
        <v>184</v>
      </c>
      <c r="G4" s="1">
        <v>45778</v>
      </c>
      <c r="H4" t="s">
        <v>325</v>
      </c>
      <c r="I4">
        <v>1</v>
      </c>
      <c r="J4" t="b">
        <v>1</v>
      </c>
      <c r="K4" t="b">
        <v>1</v>
      </c>
      <c r="L4" s="4" t="s">
        <v>283</v>
      </c>
    </row>
    <row r="5" spans="1:12">
      <c r="A5" t="s">
        <v>759</v>
      </c>
      <c r="B5">
        <v>0</v>
      </c>
      <c r="C5" s="4" t="s">
        <v>753</v>
      </c>
      <c r="D5">
        <v>76.58</v>
      </c>
      <c r="E5">
        <v>0</v>
      </c>
      <c r="F5" t="s">
        <v>184</v>
      </c>
      <c r="G5" s="1">
        <v>45435</v>
      </c>
      <c r="H5" t="s">
        <v>325</v>
      </c>
      <c r="I5">
        <v>1</v>
      </c>
      <c r="J5" t="b">
        <v>1</v>
      </c>
      <c r="K5" t="b">
        <v>1</v>
      </c>
    </row>
    <row r="6" spans="1:12">
      <c r="A6" t="s">
        <v>462</v>
      </c>
      <c r="B6">
        <v>0</v>
      </c>
      <c r="C6" s="4" t="s">
        <v>353</v>
      </c>
      <c r="D6">
        <v>179.32</v>
      </c>
      <c r="E6">
        <v>0</v>
      </c>
      <c r="F6" t="s">
        <v>180</v>
      </c>
      <c r="G6" s="1">
        <v>45650</v>
      </c>
      <c r="H6" t="s">
        <v>325</v>
      </c>
      <c r="I6">
        <v>1</v>
      </c>
      <c r="J6" t="b">
        <v>1</v>
      </c>
      <c r="K6" t="b">
        <v>1</v>
      </c>
      <c r="L6" s="4" t="s">
        <v>243</v>
      </c>
    </row>
    <row r="7" spans="1:12">
      <c r="A7" t="s">
        <v>505</v>
      </c>
      <c r="B7">
        <v>0</v>
      </c>
      <c r="C7" s="4" t="s">
        <v>421</v>
      </c>
      <c r="D7">
        <v>393</v>
      </c>
      <c r="E7">
        <v>0</v>
      </c>
      <c r="F7" t="s">
        <v>179</v>
      </c>
      <c r="G7" s="1">
        <v>45566</v>
      </c>
      <c r="H7" t="s">
        <v>325</v>
      </c>
      <c r="I7">
        <v>1</v>
      </c>
      <c r="J7" t="b">
        <v>1</v>
      </c>
      <c r="K7" t="b">
        <v>1</v>
      </c>
      <c r="L7" s="4" t="s">
        <v>513</v>
      </c>
    </row>
    <row r="8" spans="1:12">
      <c r="A8" t="s">
        <v>866</v>
      </c>
      <c r="B8">
        <v>0</v>
      </c>
      <c r="C8">
        <v>6006535</v>
      </c>
      <c r="D8">
        <v>497.92</v>
      </c>
      <c r="E8">
        <v>0</v>
      </c>
      <c r="F8" t="s">
        <v>182</v>
      </c>
      <c r="G8" s="1">
        <v>45442</v>
      </c>
      <c r="H8" t="s">
        <v>325</v>
      </c>
      <c r="I8">
        <v>1</v>
      </c>
      <c r="J8" t="b">
        <v>1</v>
      </c>
      <c r="K8" t="b">
        <v>1</v>
      </c>
      <c r="L8" t="s">
        <v>869</v>
      </c>
    </row>
    <row r="9" spans="1:12">
      <c r="A9" t="s">
        <v>777</v>
      </c>
      <c r="B9">
        <v>0</v>
      </c>
      <c r="C9">
        <v>4430556</v>
      </c>
      <c r="D9">
        <v>33.61</v>
      </c>
      <c r="E9">
        <v>0</v>
      </c>
      <c r="F9" t="s">
        <v>176</v>
      </c>
      <c r="G9" s="1">
        <v>45365</v>
      </c>
      <c r="H9" t="s">
        <v>325</v>
      </c>
      <c r="I9">
        <v>0</v>
      </c>
      <c r="J9" t="b">
        <v>0</v>
      </c>
      <c r="K9" t="b">
        <v>1</v>
      </c>
      <c r="L9" t="s">
        <v>778</v>
      </c>
    </row>
    <row r="10" spans="1:12">
      <c r="A10" t="s">
        <v>439</v>
      </c>
      <c r="B10">
        <v>0</v>
      </c>
      <c r="C10" s="4" t="s">
        <v>348</v>
      </c>
      <c r="D10">
        <v>411</v>
      </c>
      <c r="E10">
        <v>0</v>
      </c>
      <c r="F10" t="s">
        <v>176</v>
      </c>
      <c r="G10" s="1">
        <v>45281</v>
      </c>
      <c r="H10" t="s">
        <v>326</v>
      </c>
      <c r="I10">
        <v>0</v>
      </c>
      <c r="J10" t="b">
        <v>0</v>
      </c>
      <c r="K10" t="b">
        <v>1</v>
      </c>
      <c r="L10" s="4" t="s">
        <v>437</v>
      </c>
    </row>
    <row r="11" spans="1:12">
      <c r="A11" t="s">
        <v>495</v>
      </c>
      <c r="B11">
        <v>0</v>
      </c>
      <c r="C11" s="4" t="s">
        <v>348</v>
      </c>
      <c r="D11">
        <v>140</v>
      </c>
      <c r="E11">
        <v>0</v>
      </c>
      <c r="F11" t="s">
        <v>176</v>
      </c>
      <c r="G11" s="1">
        <v>45280</v>
      </c>
      <c r="H11" t="s">
        <v>325</v>
      </c>
      <c r="I11">
        <v>1</v>
      </c>
      <c r="J11" t="b">
        <v>1</v>
      </c>
      <c r="K11" t="b">
        <v>1</v>
      </c>
      <c r="L11" s="4" t="s">
        <v>227</v>
      </c>
    </row>
    <row r="12" spans="1:12">
      <c r="A12" t="s">
        <v>334</v>
      </c>
      <c r="B12">
        <v>0</v>
      </c>
      <c r="C12" s="4" t="s">
        <v>393</v>
      </c>
      <c r="D12">
        <v>226</v>
      </c>
      <c r="E12">
        <v>0</v>
      </c>
      <c r="F12" t="s">
        <v>177</v>
      </c>
      <c r="G12" s="1">
        <v>45196</v>
      </c>
      <c r="H12" t="s">
        <v>325</v>
      </c>
      <c r="I12">
        <v>1</v>
      </c>
      <c r="J12" t="b">
        <v>1</v>
      </c>
      <c r="K12" t="b">
        <v>1</v>
      </c>
      <c r="L12" s="4" t="s">
        <v>284</v>
      </c>
    </row>
    <row r="13" spans="1:12">
      <c r="A13" t="s">
        <v>488</v>
      </c>
      <c r="B13">
        <v>0</v>
      </c>
      <c r="C13" s="4" t="s">
        <v>400</v>
      </c>
      <c r="D13">
        <v>47.1</v>
      </c>
      <c r="E13">
        <v>0</v>
      </c>
      <c r="F13" t="s">
        <v>176</v>
      </c>
      <c r="G13" s="1">
        <v>45196</v>
      </c>
      <c r="H13" t="s">
        <v>325</v>
      </c>
      <c r="I13">
        <v>1</v>
      </c>
      <c r="J13" t="b">
        <v>1</v>
      </c>
      <c r="K13" t="b">
        <v>1</v>
      </c>
      <c r="L13" s="4" t="s">
        <v>280</v>
      </c>
    </row>
    <row r="14" spans="1:12">
      <c r="A14" t="s">
        <v>444</v>
      </c>
      <c r="B14">
        <v>0</v>
      </c>
      <c r="C14" s="4" t="s">
        <v>522</v>
      </c>
      <c r="D14">
        <v>19</v>
      </c>
      <c r="E14">
        <v>0</v>
      </c>
      <c r="F14" t="s">
        <v>176</v>
      </c>
      <c r="G14" s="1">
        <v>45274</v>
      </c>
      <c r="H14" t="s">
        <v>325</v>
      </c>
      <c r="I14">
        <v>1</v>
      </c>
      <c r="J14" t="b">
        <v>1</v>
      </c>
      <c r="K14" t="b">
        <v>1</v>
      </c>
      <c r="L14" s="4" t="s">
        <v>446</v>
      </c>
    </row>
    <row r="15" spans="1:12">
      <c r="A15" t="s">
        <v>813</v>
      </c>
      <c r="B15">
        <v>0</v>
      </c>
      <c r="C15" s="4" t="s">
        <v>526</v>
      </c>
      <c r="D15">
        <v>264.43</v>
      </c>
      <c r="E15">
        <v>0</v>
      </c>
      <c r="F15" t="s">
        <v>182</v>
      </c>
      <c r="G15" s="1">
        <v>45196</v>
      </c>
      <c r="H15" t="s">
        <v>326</v>
      </c>
      <c r="I15">
        <v>0</v>
      </c>
      <c r="J15" t="b">
        <v>0</v>
      </c>
      <c r="K15" t="b">
        <v>1</v>
      </c>
      <c r="L15" s="4" t="s">
        <v>727</v>
      </c>
    </row>
    <row r="16" spans="1:12">
      <c r="A16" t="s">
        <v>336</v>
      </c>
      <c r="B16">
        <v>0</v>
      </c>
      <c r="C16" s="4" t="s">
        <v>374</v>
      </c>
      <c r="D16">
        <v>321</v>
      </c>
      <c r="E16">
        <v>0</v>
      </c>
      <c r="F16" t="s">
        <v>177</v>
      </c>
      <c r="G16" s="1">
        <v>45300</v>
      </c>
      <c r="H16" t="s">
        <v>326</v>
      </c>
      <c r="I16">
        <v>1</v>
      </c>
      <c r="J16" t="b">
        <v>1</v>
      </c>
      <c r="K16" t="b">
        <v>1</v>
      </c>
      <c r="L16" s="4" t="s">
        <v>271</v>
      </c>
    </row>
    <row r="17" spans="1:12">
      <c r="A17" t="s">
        <v>928</v>
      </c>
      <c r="B17">
        <v>0</v>
      </c>
      <c r="C17" s="4" t="s">
        <v>376</v>
      </c>
      <c r="D17">
        <v>214.2</v>
      </c>
      <c r="E17">
        <v>0</v>
      </c>
      <c r="F17" t="s">
        <v>177</v>
      </c>
      <c r="G17" s="1">
        <v>45196</v>
      </c>
      <c r="H17" t="s">
        <v>326</v>
      </c>
      <c r="I17">
        <v>1</v>
      </c>
      <c r="J17" t="b">
        <v>1</v>
      </c>
      <c r="K17" t="b">
        <v>1</v>
      </c>
      <c r="L17" s="4" t="s">
        <v>255</v>
      </c>
    </row>
    <row r="18" spans="1:12">
      <c r="A18" t="s">
        <v>929</v>
      </c>
      <c r="B18">
        <v>0</v>
      </c>
      <c r="C18" s="4" t="s">
        <v>392</v>
      </c>
      <c r="D18">
        <v>431</v>
      </c>
      <c r="E18">
        <v>0</v>
      </c>
      <c r="F18" t="s">
        <v>177</v>
      </c>
      <c r="G18" s="1">
        <v>45196</v>
      </c>
      <c r="H18" t="s">
        <v>326</v>
      </c>
      <c r="I18">
        <v>1</v>
      </c>
      <c r="J18" t="b">
        <v>1</v>
      </c>
      <c r="K18" t="b">
        <v>1</v>
      </c>
      <c r="L18" s="4" t="s">
        <v>244</v>
      </c>
    </row>
    <row r="19" spans="1:12">
      <c r="A19" t="s">
        <v>912</v>
      </c>
      <c r="B19">
        <v>0</v>
      </c>
      <c r="C19">
        <v>5009896</v>
      </c>
      <c r="D19">
        <v>500</v>
      </c>
      <c r="E19">
        <v>0</v>
      </c>
      <c r="F19" t="s">
        <v>187</v>
      </c>
      <c r="G19" s="1">
        <v>45565</v>
      </c>
      <c r="H19" t="s">
        <v>325</v>
      </c>
      <c r="I19">
        <v>0</v>
      </c>
      <c r="J19" t="b">
        <v>0</v>
      </c>
      <c r="K19" t="b">
        <v>1</v>
      </c>
      <c r="L19" t="s">
        <v>915</v>
      </c>
    </row>
    <row r="20" spans="1:12">
      <c r="A20" t="s">
        <v>916</v>
      </c>
      <c r="B20">
        <v>0</v>
      </c>
      <c r="C20">
        <v>5009895</v>
      </c>
      <c r="D20">
        <v>252.75</v>
      </c>
      <c r="E20">
        <v>0</v>
      </c>
      <c r="F20" t="s">
        <v>187</v>
      </c>
      <c r="G20" s="1">
        <v>45565</v>
      </c>
      <c r="H20" t="s">
        <v>325</v>
      </c>
      <c r="I20">
        <v>0</v>
      </c>
      <c r="J20" t="b">
        <v>0</v>
      </c>
      <c r="K20" t="b">
        <v>1</v>
      </c>
      <c r="L20" t="s">
        <v>919</v>
      </c>
    </row>
    <row r="21" spans="1:12">
      <c r="A21" t="s">
        <v>976</v>
      </c>
      <c r="B21">
        <v>0</v>
      </c>
      <c r="C21" s="4" t="s">
        <v>367</v>
      </c>
      <c r="D21">
        <v>166.18</v>
      </c>
      <c r="E21">
        <v>0</v>
      </c>
      <c r="F21" t="s">
        <v>179</v>
      </c>
      <c r="G21" s="1">
        <v>45587</v>
      </c>
      <c r="H21" t="s">
        <v>325</v>
      </c>
      <c r="I21">
        <v>1</v>
      </c>
      <c r="J21" t="b">
        <v>1</v>
      </c>
      <c r="K21" t="b">
        <v>1</v>
      </c>
      <c r="L21" s="4" t="s">
        <v>274</v>
      </c>
    </row>
    <row r="22" spans="1:12">
      <c r="A22" t="s">
        <v>484</v>
      </c>
      <c r="B22">
        <v>0</v>
      </c>
      <c r="C22" s="4" t="s">
        <v>395</v>
      </c>
      <c r="D22">
        <v>92.7</v>
      </c>
      <c r="E22">
        <v>0</v>
      </c>
      <c r="F22" t="s">
        <v>184</v>
      </c>
      <c r="G22" s="1">
        <v>45666</v>
      </c>
      <c r="H22" t="s">
        <v>325</v>
      </c>
      <c r="I22">
        <v>1</v>
      </c>
      <c r="J22" t="b">
        <v>1</v>
      </c>
      <c r="K22" t="b">
        <v>1</v>
      </c>
      <c r="L22" s="4" t="s">
        <v>297</v>
      </c>
    </row>
    <row r="23" spans="1:12">
      <c r="A23" t="s">
        <v>792</v>
      </c>
      <c r="B23">
        <v>0</v>
      </c>
      <c r="C23" s="4" t="s">
        <v>388</v>
      </c>
      <c r="D23">
        <v>106.41</v>
      </c>
      <c r="E23">
        <v>0</v>
      </c>
      <c r="F23" t="s">
        <v>178</v>
      </c>
      <c r="G23" s="1">
        <v>44950</v>
      </c>
      <c r="H23" t="s">
        <v>325</v>
      </c>
      <c r="I23">
        <v>1</v>
      </c>
      <c r="J23" t="b">
        <v>1</v>
      </c>
      <c r="K23" t="b">
        <v>1</v>
      </c>
      <c r="L23" s="4" t="s">
        <v>273</v>
      </c>
    </row>
    <row r="24" spans="1:12">
      <c r="A24" t="s">
        <v>804</v>
      </c>
      <c r="B24">
        <v>0</v>
      </c>
      <c r="C24" s="4" t="s">
        <v>380</v>
      </c>
      <c r="D24">
        <v>28.95</v>
      </c>
      <c r="E24">
        <v>0</v>
      </c>
      <c r="F24" t="s">
        <v>178</v>
      </c>
      <c r="G24" s="1">
        <v>45825</v>
      </c>
      <c r="H24" t="s">
        <v>325</v>
      </c>
      <c r="I24">
        <v>0</v>
      </c>
      <c r="J24" t="b">
        <v>0</v>
      </c>
      <c r="K24" t="b">
        <v>1</v>
      </c>
      <c r="L24" s="4" t="s">
        <v>278</v>
      </c>
    </row>
    <row r="25" spans="1:12">
      <c r="A25" t="s">
        <v>117</v>
      </c>
      <c r="B25">
        <v>0</v>
      </c>
      <c r="C25" s="4" t="s">
        <v>408</v>
      </c>
      <c r="D25">
        <v>144</v>
      </c>
      <c r="E25">
        <v>0</v>
      </c>
      <c r="F25" t="s">
        <v>176</v>
      </c>
      <c r="G25" s="1">
        <v>45826</v>
      </c>
      <c r="H25" t="s">
        <v>325</v>
      </c>
      <c r="I25">
        <v>1</v>
      </c>
      <c r="J25" t="b">
        <v>1</v>
      </c>
      <c r="K25" t="b">
        <v>1</v>
      </c>
      <c r="L25" s="4" t="s">
        <v>224</v>
      </c>
    </row>
    <row r="26" spans="1:12">
      <c r="A26" t="s">
        <v>896</v>
      </c>
      <c r="B26">
        <v>0</v>
      </c>
      <c r="C26">
        <v>5009119</v>
      </c>
      <c r="D26">
        <v>211.18</v>
      </c>
      <c r="E26">
        <v>0</v>
      </c>
      <c r="F26" t="s">
        <v>178</v>
      </c>
      <c r="G26" s="1">
        <v>45859</v>
      </c>
      <c r="H26" t="s">
        <v>325</v>
      </c>
      <c r="I26">
        <v>1</v>
      </c>
      <c r="J26" t="b">
        <v>1</v>
      </c>
      <c r="K26" t="b">
        <v>1</v>
      </c>
      <c r="L26">
        <v>60050009</v>
      </c>
    </row>
    <row r="27" spans="1:12">
      <c r="A27" t="s">
        <v>791</v>
      </c>
      <c r="B27">
        <v>0</v>
      </c>
      <c r="C27" s="4" t="s">
        <v>350</v>
      </c>
      <c r="D27">
        <v>413.32</v>
      </c>
      <c r="E27">
        <v>0</v>
      </c>
      <c r="F27" t="s">
        <v>182</v>
      </c>
      <c r="G27" s="1">
        <v>45890</v>
      </c>
      <c r="H27" t="s">
        <v>325</v>
      </c>
      <c r="I27">
        <v>1</v>
      </c>
      <c r="J27" t="b">
        <v>1</v>
      </c>
      <c r="K27" t="b">
        <v>1</v>
      </c>
      <c r="L27" s="4" t="s">
        <v>238</v>
      </c>
    </row>
    <row r="28" spans="1:12">
      <c r="A28" t="s">
        <v>335</v>
      </c>
      <c r="B28">
        <v>0</v>
      </c>
      <c r="C28" s="4" t="s">
        <v>357</v>
      </c>
      <c r="D28">
        <v>304.5</v>
      </c>
      <c r="E28">
        <v>0</v>
      </c>
      <c r="F28" t="s">
        <v>177</v>
      </c>
      <c r="G28" s="1">
        <v>45910</v>
      </c>
      <c r="H28" t="s">
        <v>325</v>
      </c>
      <c r="I28">
        <v>1</v>
      </c>
      <c r="J28" t="b">
        <v>1</v>
      </c>
      <c r="K28" t="b">
        <v>1</v>
      </c>
      <c r="L28" s="4" t="s">
        <v>290</v>
      </c>
    </row>
    <row r="29" spans="1:12">
      <c r="A29" t="s">
        <v>801</v>
      </c>
      <c r="B29">
        <v>0</v>
      </c>
      <c r="C29" s="4" t="s">
        <v>412</v>
      </c>
      <c r="D29">
        <v>124.25</v>
      </c>
      <c r="E29">
        <v>0</v>
      </c>
      <c r="F29" t="s">
        <v>184</v>
      </c>
      <c r="G29" s="1">
        <v>45960</v>
      </c>
      <c r="H29" t="s">
        <v>325</v>
      </c>
      <c r="I29">
        <v>1</v>
      </c>
      <c r="J29" t="b">
        <v>1</v>
      </c>
      <c r="K29" t="b">
        <v>1</v>
      </c>
      <c r="L29" s="4" t="s">
        <v>509</v>
      </c>
    </row>
    <row r="30" spans="1:12">
      <c r="A30" t="s">
        <v>466</v>
      </c>
      <c r="B30">
        <v>0</v>
      </c>
      <c r="C30" s="4" t="s">
        <v>361</v>
      </c>
      <c r="D30">
        <v>390</v>
      </c>
      <c r="E30">
        <v>0</v>
      </c>
      <c r="F30" t="s">
        <v>179</v>
      </c>
      <c r="G30" s="1">
        <v>45996</v>
      </c>
      <c r="H30" t="s">
        <v>325</v>
      </c>
      <c r="I30">
        <v>1</v>
      </c>
      <c r="J30" t="b">
        <v>1</v>
      </c>
      <c r="K30" t="b">
        <v>1</v>
      </c>
      <c r="L30" s="4" t="s">
        <v>300</v>
      </c>
    </row>
    <row r="31" spans="1:12">
      <c r="A31" t="s">
        <v>424</v>
      </c>
      <c r="B31">
        <v>0</v>
      </c>
      <c r="C31" s="4" t="s">
        <v>528</v>
      </c>
      <c r="D31">
        <v>560.78</v>
      </c>
      <c r="E31">
        <v>0</v>
      </c>
      <c r="F31" t="s">
        <v>186</v>
      </c>
      <c r="G31" s="1">
        <v>46042</v>
      </c>
      <c r="H31" t="s">
        <v>325</v>
      </c>
      <c r="I31">
        <v>1</v>
      </c>
      <c r="J31" t="b">
        <v>1</v>
      </c>
      <c r="K31" t="b">
        <v>1</v>
      </c>
      <c r="L31" s="4" t="s">
        <v>515</v>
      </c>
    </row>
    <row r="32" spans="1:12">
      <c r="A32" t="s">
        <v>806</v>
      </c>
      <c r="C32" s="4" t="s">
        <v>521</v>
      </c>
      <c r="D32">
        <v>4</v>
      </c>
      <c r="E32">
        <v>0</v>
      </c>
      <c r="F32" t="s">
        <v>176</v>
      </c>
      <c r="G32" s="1">
        <v>45274</v>
      </c>
      <c r="H32" t="s">
        <v>326</v>
      </c>
      <c r="I32">
        <v>0</v>
      </c>
      <c r="J32" t="b">
        <v>0</v>
      </c>
      <c r="K32" t="b">
        <v>1</v>
      </c>
      <c r="L32" s="4" t="s">
        <v>441</v>
      </c>
    </row>
    <row r="33" spans="1:12">
      <c r="A33" t="s">
        <v>146</v>
      </c>
      <c r="C33" s="4" t="s">
        <v>347</v>
      </c>
      <c r="D33">
        <v>16.71</v>
      </c>
      <c r="E33">
        <v>0</v>
      </c>
      <c r="F33" t="s">
        <v>176</v>
      </c>
      <c r="G33" s="1">
        <v>45196</v>
      </c>
      <c r="H33" t="s">
        <v>326</v>
      </c>
      <c r="I33">
        <v>0</v>
      </c>
      <c r="J33" t="b">
        <v>0</v>
      </c>
      <c r="K33" t="b">
        <v>1</v>
      </c>
      <c r="L33" s="4" t="s">
        <v>298</v>
      </c>
    </row>
    <row r="34" spans="1:12">
      <c r="A34" t="s">
        <v>805</v>
      </c>
      <c r="C34" s="4" t="s">
        <v>355</v>
      </c>
      <c r="D34">
        <v>154.88999999999999</v>
      </c>
      <c r="E34">
        <v>0</v>
      </c>
      <c r="F34" t="s">
        <v>176</v>
      </c>
      <c r="G34" s="1">
        <v>45196</v>
      </c>
      <c r="H34" t="s">
        <v>325</v>
      </c>
      <c r="I34">
        <v>0</v>
      </c>
      <c r="J34" t="b">
        <v>0</v>
      </c>
      <c r="K34" t="b">
        <v>1</v>
      </c>
      <c r="L34" s="4" t="s">
        <v>293</v>
      </c>
    </row>
    <row r="35" spans="1:12">
      <c r="A35" t="s">
        <v>807</v>
      </c>
      <c r="C35" s="4" t="s">
        <v>358</v>
      </c>
      <c r="D35">
        <v>9</v>
      </c>
      <c r="E35">
        <v>0</v>
      </c>
      <c r="F35" t="s">
        <v>176</v>
      </c>
      <c r="G35" s="1">
        <v>45196</v>
      </c>
      <c r="H35" t="s">
        <v>325</v>
      </c>
      <c r="I35">
        <v>0</v>
      </c>
      <c r="J35" t="b">
        <v>0</v>
      </c>
      <c r="K35" t="b">
        <v>1</v>
      </c>
      <c r="L35" s="4" t="s">
        <v>269</v>
      </c>
    </row>
    <row r="36" spans="1:12">
      <c r="A36" t="s">
        <v>464</v>
      </c>
      <c r="C36" s="4" t="s">
        <v>359</v>
      </c>
      <c r="D36">
        <v>2922</v>
      </c>
      <c r="E36">
        <v>0</v>
      </c>
      <c r="F36" t="s">
        <v>183</v>
      </c>
      <c r="G36" s="1">
        <v>45196</v>
      </c>
      <c r="H36" t="s">
        <v>326</v>
      </c>
      <c r="I36">
        <v>0</v>
      </c>
      <c r="J36" t="b">
        <v>0</v>
      </c>
      <c r="K36" t="b">
        <v>1</v>
      </c>
      <c r="L36" s="4" t="s">
        <v>241</v>
      </c>
    </row>
    <row r="37" spans="1:12">
      <c r="A37" t="s">
        <v>809</v>
      </c>
      <c r="C37" s="4" t="s">
        <v>522</v>
      </c>
      <c r="D37">
        <v>19</v>
      </c>
      <c r="E37">
        <v>0</v>
      </c>
      <c r="F37" t="s">
        <v>176</v>
      </c>
      <c r="G37" s="1">
        <v>45274</v>
      </c>
      <c r="H37" t="s">
        <v>325</v>
      </c>
      <c r="I37">
        <v>1</v>
      </c>
      <c r="J37" t="b">
        <v>1</v>
      </c>
      <c r="K37" t="b">
        <v>1</v>
      </c>
      <c r="L37" s="4" t="s">
        <v>445</v>
      </c>
    </row>
    <row r="38" spans="1:12">
      <c r="A38" t="s">
        <v>470</v>
      </c>
      <c r="C38" s="4" t="s">
        <v>366</v>
      </c>
      <c r="D38">
        <v>95</v>
      </c>
      <c r="E38">
        <v>0</v>
      </c>
      <c r="F38" t="s">
        <v>179</v>
      </c>
      <c r="G38" s="1">
        <v>45196</v>
      </c>
      <c r="H38" t="s">
        <v>325</v>
      </c>
      <c r="I38">
        <v>0</v>
      </c>
      <c r="J38" t="b">
        <v>0</v>
      </c>
      <c r="K38" t="b">
        <v>1</v>
      </c>
      <c r="L38" s="4" t="s">
        <v>257</v>
      </c>
    </row>
    <row r="39" spans="1:12">
      <c r="A39" t="s">
        <v>329</v>
      </c>
      <c r="C39" s="4" t="s">
        <v>378</v>
      </c>
      <c r="D39">
        <v>104.64</v>
      </c>
      <c r="E39">
        <v>0</v>
      </c>
      <c r="F39" t="s">
        <v>177</v>
      </c>
      <c r="G39" s="1">
        <v>45196</v>
      </c>
      <c r="H39" t="s">
        <v>325</v>
      </c>
      <c r="I39">
        <v>0</v>
      </c>
      <c r="J39" t="b">
        <v>0</v>
      </c>
      <c r="K39" t="b">
        <v>1</v>
      </c>
      <c r="L39" s="4" t="s">
        <v>508</v>
      </c>
    </row>
    <row r="40" spans="1:12">
      <c r="A40" t="s">
        <v>331</v>
      </c>
      <c r="C40" s="4" t="s">
        <v>379</v>
      </c>
      <c r="D40">
        <v>793.62</v>
      </c>
      <c r="E40">
        <v>0</v>
      </c>
      <c r="F40" t="s">
        <v>177</v>
      </c>
      <c r="G40" s="1">
        <v>45196</v>
      </c>
      <c r="H40" t="s">
        <v>325</v>
      </c>
      <c r="I40">
        <v>0</v>
      </c>
      <c r="J40" t="b">
        <v>0</v>
      </c>
      <c r="K40" t="b">
        <v>1</v>
      </c>
      <c r="L40" s="4" t="s">
        <v>519</v>
      </c>
    </row>
    <row r="41" spans="1:12">
      <c r="A41" t="s">
        <v>481</v>
      </c>
      <c r="C41" s="4" t="s">
        <v>390</v>
      </c>
      <c r="D41">
        <v>180.61</v>
      </c>
      <c r="E41">
        <v>0</v>
      </c>
      <c r="F41" t="s">
        <v>176</v>
      </c>
      <c r="G41" s="1">
        <v>45196</v>
      </c>
      <c r="H41" t="s">
        <v>326</v>
      </c>
      <c r="I41">
        <v>0</v>
      </c>
      <c r="J41" t="b">
        <v>0</v>
      </c>
      <c r="K41" t="b">
        <v>1</v>
      </c>
      <c r="L41" s="4" t="s">
        <v>510</v>
      </c>
    </row>
    <row r="42" spans="1:12">
      <c r="A42" t="s">
        <v>780</v>
      </c>
      <c r="C42" s="4" t="s">
        <v>398</v>
      </c>
      <c r="D42">
        <v>363.46</v>
      </c>
      <c r="E42">
        <v>0</v>
      </c>
      <c r="F42" t="s">
        <v>176</v>
      </c>
      <c r="G42" s="1">
        <v>45196</v>
      </c>
      <c r="H42" t="s">
        <v>325</v>
      </c>
      <c r="J42" t="b">
        <v>0</v>
      </c>
      <c r="K42" t="b">
        <v>1</v>
      </c>
      <c r="L42" s="4" t="s">
        <v>285</v>
      </c>
    </row>
    <row r="43" spans="1:12">
      <c r="A43" t="s">
        <v>812</v>
      </c>
      <c r="C43" s="4" t="s">
        <v>404</v>
      </c>
      <c r="D43">
        <v>80.5</v>
      </c>
      <c r="E43">
        <v>0</v>
      </c>
      <c r="F43" t="s">
        <v>186</v>
      </c>
      <c r="G43" s="1">
        <v>45196</v>
      </c>
      <c r="H43" t="s">
        <v>325</v>
      </c>
      <c r="I43">
        <v>1</v>
      </c>
      <c r="J43" t="b">
        <v>1</v>
      </c>
      <c r="K43" t="b">
        <v>1</v>
      </c>
      <c r="L43" s="4" t="s">
        <v>294</v>
      </c>
    </row>
    <row r="44" spans="1:12">
      <c r="A44" t="s">
        <v>493</v>
      </c>
      <c r="C44" s="4" t="s">
        <v>348</v>
      </c>
      <c r="D44">
        <v>28</v>
      </c>
      <c r="E44">
        <v>0</v>
      </c>
      <c r="F44" t="s">
        <v>176</v>
      </c>
      <c r="G44" s="1">
        <v>45196</v>
      </c>
      <c r="H44" t="s">
        <v>325</v>
      </c>
      <c r="I44">
        <v>0</v>
      </c>
      <c r="J44" t="b">
        <v>0</v>
      </c>
      <c r="K44" t="b">
        <v>1</v>
      </c>
      <c r="L44" s="4" t="s">
        <v>229</v>
      </c>
    </row>
    <row r="45" spans="1:12">
      <c r="A45" t="s">
        <v>494</v>
      </c>
      <c r="C45" s="4" t="s">
        <v>405</v>
      </c>
      <c r="D45">
        <v>2.7</v>
      </c>
      <c r="E45">
        <v>0</v>
      </c>
      <c r="F45" t="s">
        <v>176</v>
      </c>
      <c r="G45" s="1">
        <v>45196</v>
      </c>
      <c r="H45" t="s">
        <v>325</v>
      </c>
      <c r="I45">
        <v>1</v>
      </c>
      <c r="J45" t="b">
        <v>1</v>
      </c>
      <c r="K45" t="b">
        <v>1</v>
      </c>
      <c r="L45" s="4" t="s">
        <v>225</v>
      </c>
    </row>
    <row r="46" spans="1:12">
      <c r="A46" t="s">
        <v>496</v>
      </c>
      <c r="C46" s="4" t="s">
        <v>348</v>
      </c>
      <c r="D46">
        <v>33</v>
      </c>
      <c r="E46">
        <v>0</v>
      </c>
      <c r="F46" t="s">
        <v>176</v>
      </c>
      <c r="G46" s="1">
        <v>45196</v>
      </c>
      <c r="H46" t="s">
        <v>325</v>
      </c>
      <c r="I46">
        <v>0</v>
      </c>
      <c r="J46" t="b">
        <v>0</v>
      </c>
      <c r="K46" t="b">
        <v>1</v>
      </c>
      <c r="L46" s="4" t="s">
        <v>270</v>
      </c>
    </row>
    <row r="47" spans="1:12">
      <c r="A47" t="s">
        <v>497</v>
      </c>
      <c r="C47" s="4" t="s">
        <v>406</v>
      </c>
      <c r="D47">
        <v>33</v>
      </c>
      <c r="E47">
        <v>0</v>
      </c>
      <c r="F47" t="s">
        <v>176</v>
      </c>
      <c r="G47" s="1">
        <v>45196</v>
      </c>
      <c r="H47" t="s">
        <v>325</v>
      </c>
      <c r="I47">
        <v>1</v>
      </c>
      <c r="J47" t="b">
        <v>1</v>
      </c>
      <c r="K47" t="b">
        <v>1</v>
      </c>
      <c r="L47" s="4" t="s">
        <v>270</v>
      </c>
    </row>
    <row r="48" spans="1:12">
      <c r="A48" t="s">
        <v>814</v>
      </c>
      <c r="C48" s="4" t="s">
        <v>407</v>
      </c>
      <c r="D48">
        <v>135.6</v>
      </c>
      <c r="E48">
        <v>0</v>
      </c>
      <c r="F48" t="s">
        <v>176</v>
      </c>
      <c r="G48" s="1">
        <v>45196</v>
      </c>
      <c r="H48" t="s">
        <v>326</v>
      </c>
      <c r="I48">
        <v>0</v>
      </c>
      <c r="J48" t="b">
        <v>0</v>
      </c>
      <c r="K48" t="b">
        <v>1</v>
      </c>
      <c r="L48" s="4" t="s">
        <v>260</v>
      </c>
    </row>
    <row r="49" spans="1:12">
      <c r="A49" t="s">
        <v>815</v>
      </c>
      <c r="C49" s="4" t="s">
        <v>409</v>
      </c>
      <c r="D49">
        <v>51.02</v>
      </c>
      <c r="E49">
        <v>0</v>
      </c>
      <c r="F49" t="s">
        <v>176</v>
      </c>
      <c r="G49" s="1">
        <v>45196</v>
      </c>
      <c r="H49" t="s">
        <v>326</v>
      </c>
      <c r="J49" t="b">
        <v>0</v>
      </c>
      <c r="K49" t="b">
        <v>1</v>
      </c>
      <c r="L49" s="4" t="s">
        <v>252</v>
      </c>
    </row>
    <row r="50" spans="1:12">
      <c r="A50" t="s">
        <v>144</v>
      </c>
      <c r="C50" s="4" t="s">
        <v>411</v>
      </c>
      <c r="D50">
        <v>13</v>
      </c>
      <c r="E50">
        <v>0</v>
      </c>
      <c r="F50" t="s">
        <v>176</v>
      </c>
      <c r="G50" s="1">
        <v>45196</v>
      </c>
      <c r="H50" t="s">
        <v>325</v>
      </c>
      <c r="I50">
        <v>0</v>
      </c>
      <c r="J50" t="b">
        <v>0</v>
      </c>
      <c r="K50" t="b">
        <v>1</v>
      </c>
      <c r="L50" s="4" t="s">
        <v>268</v>
      </c>
    </row>
    <row r="51" spans="1:12">
      <c r="A51" t="s">
        <v>450</v>
      </c>
      <c r="C51" s="4" t="s">
        <v>348</v>
      </c>
      <c r="D51">
        <v>4.95</v>
      </c>
      <c r="E51">
        <v>0</v>
      </c>
      <c r="F51" t="s">
        <v>176</v>
      </c>
      <c r="G51" s="1">
        <v>45274</v>
      </c>
      <c r="H51" t="s">
        <v>325</v>
      </c>
      <c r="I51">
        <v>1</v>
      </c>
      <c r="J51" t="b">
        <v>1</v>
      </c>
      <c r="K51" t="b">
        <v>1</v>
      </c>
      <c r="L51" s="4" t="s">
        <v>452</v>
      </c>
    </row>
    <row r="52" spans="1:12">
      <c r="A52" t="s">
        <v>817</v>
      </c>
      <c r="C52" s="4" t="s">
        <v>414</v>
      </c>
      <c r="D52">
        <v>287</v>
      </c>
      <c r="E52">
        <v>0</v>
      </c>
      <c r="F52" t="s">
        <v>182</v>
      </c>
      <c r="G52" s="1">
        <v>45196</v>
      </c>
      <c r="H52" t="s">
        <v>326</v>
      </c>
      <c r="I52">
        <v>1</v>
      </c>
      <c r="J52" t="b">
        <v>1</v>
      </c>
      <c r="K52" t="b">
        <v>1</v>
      </c>
      <c r="L52" s="4" t="s">
        <v>511</v>
      </c>
    </row>
    <row r="53" spans="1:12">
      <c r="A53" t="s">
        <v>502</v>
      </c>
      <c r="C53" s="4" t="s">
        <v>415</v>
      </c>
      <c r="D53">
        <v>699.54</v>
      </c>
      <c r="E53">
        <v>0</v>
      </c>
      <c r="F53" t="s">
        <v>186</v>
      </c>
      <c r="G53" s="1">
        <v>45196</v>
      </c>
      <c r="H53" t="s">
        <v>325</v>
      </c>
      <c r="I53">
        <v>0</v>
      </c>
      <c r="J53" t="b">
        <v>0</v>
      </c>
      <c r="K53" t="b">
        <v>1</v>
      </c>
      <c r="L53" s="4" t="s">
        <v>517</v>
      </c>
    </row>
    <row r="54" spans="1:12">
      <c r="A54" t="s">
        <v>503</v>
      </c>
      <c r="C54" s="4" t="s">
        <v>416</v>
      </c>
      <c r="D54">
        <v>75</v>
      </c>
      <c r="E54">
        <v>0</v>
      </c>
      <c r="F54" t="s">
        <v>176</v>
      </c>
      <c r="G54" s="1">
        <v>45196</v>
      </c>
      <c r="H54" t="s">
        <v>326</v>
      </c>
      <c r="I54">
        <v>0</v>
      </c>
      <c r="J54" t="b">
        <v>0</v>
      </c>
      <c r="K54" t="b">
        <v>1</v>
      </c>
      <c r="L54" s="4" t="s">
        <v>275</v>
      </c>
    </row>
    <row r="55" spans="1:12">
      <c r="A55" t="s">
        <v>818</v>
      </c>
      <c r="C55" s="4" t="s">
        <v>417</v>
      </c>
      <c r="D55">
        <v>80</v>
      </c>
      <c r="E55">
        <v>0</v>
      </c>
      <c r="F55" t="s">
        <v>183</v>
      </c>
      <c r="G55" s="1">
        <v>45196</v>
      </c>
      <c r="H55" t="s">
        <v>326</v>
      </c>
      <c r="I55">
        <v>0</v>
      </c>
      <c r="J55" t="b">
        <v>0</v>
      </c>
      <c r="K55" t="b">
        <v>1</v>
      </c>
      <c r="L55" s="4" t="s">
        <v>242</v>
      </c>
    </row>
    <row r="56" spans="1:12">
      <c r="E56">
        <v>0</v>
      </c>
      <c r="J56" t="b">
        <v>0</v>
      </c>
      <c r="K56" t="b">
        <v>1</v>
      </c>
    </row>
    <row r="57" spans="1:12">
      <c r="E57">
        <v>0</v>
      </c>
      <c r="J57" t="b">
        <v>0</v>
      </c>
      <c r="K57" t="b">
        <v>1</v>
      </c>
    </row>
    <row r="58" spans="1:12">
      <c r="E58">
        <v>0</v>
      </c>
      <c r="J58" t="b">
        <v>0</v>
      </c>
      <c r="K58" t="b">
        <v>1</v>
      </c>
    </row>
    <row r="59" spans="1:12">
      <c r="E59">
        <v>0</v>
      </c>
      <c r="J59" t="b">
        <v>0</v>
      </c>
      <c r="K59" t="b">
        <v>1</v>
      </c>
    </row>
    <row r="60" spans="1:12">
      <c r="E60">
        <v>0</v>
      </c>
      <c r="J60" t="b">
        <v>0</v>
      </c>
      <c r="K60" t="b">
        <v>1</v>
      </c>
    </row>
    <row r="61" spans="1:12">
      <c r="E61">
        <v>0</v>
      </c>
      <c r="J61" t="b">
        <v>0</v>
      </c>
      <c r="K61" t="b">
        <v>1</v>
      </c>
    </row>
    <row r="62" spans="1:12">
      <c r="E62">
        <v>0</v>
      </c>
      <c r="J62" t="b">
        <v>0</v>
      </c>
      <c r="K62" t="b">
        <v>1</v>
      </c>
    </row>
    <row r="63" spans="1:12">
      <c r="E63">
        <v>0</v>
      </c>
      <c r="J63" t="b">
        <v>0</v>
      </c>
      <c r="K63" t="b">
        <v>1</v>
      </c>
    </row>
    <row r="64" spans="1:12">
      <c r="E64">
        <v>0</v>
      </c>
      <c r="J64" t="b">
        <v>0</v>
      </c>
      <c r="K64" t="b">
        <v>1</v>
      </c>
    </row>
    <row r="65" spans="5:11">
      <c r="E65">
        <v>0</v>
      </c>
      <c r="J65" t="b">
        <v>0</v>
      </c>
      <c r="K65" t="b">
        <v>1</v>
      </c>
    </row>
    <row r="66" spans="5:11">
      <c r="E66">
        <v>0</v>
      </c>
      <c r="J66" t="b">
        <v>0</v>
      </c>
      <c r="K66" t="b">
        <v>1</v>
      </c>
    </row>
    <row r="67" spans="5:11">
      <c r="E67">
        <v>0</v>
      </c>
      <c r="J67" t="b">
        <v>0</v>
      </c>
      <c r="K67" t="b">
        <v>1</v>
      </c>
    </row>
    <row r="68" spans="5:11">
      <c r="E68">
        <v>0</v>
      </c>
      <c r="J68" t="b">
        <v>0</v>
      </c>
      <c r="K68" t="b">
        <v>1</v>
      </c>
    </row>
    <row r="69" spans="5:11">
      <c r="E69">
        <v>0</v>
      </c>
      <c r="J69" t="b">
        <v>0</v>
      </c>
      <c r="K69" t="b">
        <v>1</v>
      </c>
    </row>
    <row r="70" spans="5:11">
      <c r="E70">
        <v>0</v>
      </c>
      <c r="J70" t="b">
        <v>0</v>
      </c>
      <c r="K70" t="b">
        <v>1</v>
      </c>
    </row>
    <row r="71" spans="5:11">
      <c r="E71">
        <v>0</v>
      </c>
      <c r="J71" t="b">
        <v>0</v>
      </c>
      <c r="K71" t="b">
        <v>1</v>
      </c>
    </row>
    <row r="72" spans="5:11">
      <c r="E72">
        <v>0</v>
      </c>
      <c r="J72" t="b">
        <v>0</v>
      </c>
      <c r="K72" t="b">
        <v>1</v>
      </c>
    </row>
    <row r="73" spans="5:11">
      <c r="E73">
        <v>0</v>
      </c>
      <c r="J73" t="b">
        <v>0</v>
      </c>
      <c r="K73" t="b">
        <v>1</v>
      </c>
    </row>
    <row r="74" spans="5:11">
      <c r="E74">
        <v>0</v>
      </c>
      <c r="J74" t="b">
        <v>0</v>
      </c>
      <c r="K74" t="b">
        <v>1</v>
      </c>
    </row>
    <row r="75" spans="5:11">
      <c r="E75">
        <v>0</v>
      </c>
      <c r="J75" t="b">
        <v>0</v>
      </c>
      <c r="K75" t="b">
        <v>1</v>
      </c>
    </row>
    <row r="94" spans="7:12">
      <c r="G94" s="23"/>
      <c r="L94" s="23"/>
    </row>
    <row r="95" spans="7:12">
      <c r="G95" s="1"/>
      <c r="L95" s="4"/>
    </row>
    <row r="96" spans="7:12">
      <c r="G96" s="1"/>
      <c r="L96" s="4"/>
    </row>
    <row r="97" spans="7:12">
      <c r="G97" s="1"/>
      <c r="L97" s="4"/>
    </row>
    <row r="98" spans="7:12">
      <c r="G98" s="1"/>
      <c r="L98" s="4"/>
    </row>
    <row r="99" spans="7:12">
      <c r="G99" s="1"/>
      <c r="L99" s="4"/>
    </row>
    <row r="100" spans="7:12">
      <c r="G100" s="1"/>
      <c r="L100" s="4"/>
    </row>
    <row r="101" spans="7:12">
      <c r="G101" s="1"/>
      <c r="L101" s="4"/>
    </row>
    <row r="102" spans="7:12">
      <c r="G102" s="1"/>
      <c r="L102" s="4"/>
    </row>
    <row r="103" spans="7:12">
      <c r="G103" s="1"/>
      <c r="L103" s="4"/>
    </row>
    <row r="104" spans="7:12">
      <c r="G104" s="1"/>
      <c r="L104" s="4"/>
    </row>
    <row r="105" spans="7:12">
      <c r="G105" s="1"/>
      <c r="L105" s="4"/>
    </row>
  </sheetData>
  <customSheetViews>
    <customSheetView guid="{2D7AA37D-8C06-47FC-8F44-3FA6E78D04F2}" state="hidden">
      <selection sqref="A1:M94"/>
      <pageMargins left="0.7" right="0.7" top="0.75" bottom="0.75" header="0.3" footer="0.3"/>
      <pageSetup orientation="portrait" r:id="rId1"/>
    </customSheetView>
    <customSheetView guid="{9C8ADCBA-1E8C-4961-B877-3E192DBDFA7A}" showPageBreaks="1" state="hidden">
      <selection sqref="A1:L61"/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pageSetUpPr fitToPage="1"/>
  </sheetPr>
  <dimension ref="A1:D114"/>
  <sheetViews>
    <sheetView topLeftCell="A70" workbookViewId="0">
      <selection activeCell="D119" sqref="A108:D119"/>
    </sheetView>
  </sheetViews>
  <sheetFormatPr defaultRowHeight="14.25"/>
  <cols>
    <col min="1" max="1" width="10.73046875" style="11" customWidth="1"/>
    <col min="2" max="2" width="35.1328125" style="11" customWidth="1"/>
    <col min="3" max="3" width="33.86328125" style="12" customWidth="1"/>
    <col min="4" max="4" width="36.59765625" style="11" customWidth="1"/>
    <col min="5" max="5" width="14" customWidth="1"/>
  </cols>
  <sheetData>
    <row r="1" spans="1:4">
      <c r="A1" s="21" t="s">
        <v>175</v>
      </c>
      <c r="B1" s="21" t="s">
        <v>25</v>
      </c>
      <c r="C1" s="22" t="s">
        <v>309</v>
      </c>
      <c r="D1" s="22" t="s">
        <v>319</v>
      </c>
    </row>
    <row r="2" spans="1:4" ht="28.5">
      <c r="A2" s="13" t="s">
        <v>186</v>
      </c>
      <c r="B2" s="14" t="s">
        <v>62</v>
      </c>
      <c r="C2" s="15" t="s">
        <v>531</v>
      </c>
      <c r="D2" s="15" t="s">
        <v>532</v>
      </c>
    </row>
    <row r="3" spans="1:4">
      <c r="A3" s="13" t="s">
        <v>186</v>
      </c>
      <c r="B3" s="14" t="s">
        <v>89</v>
      </c>
      <c r="C3" s="15" t="s">
        <v>535</v>
      </c>
      <c r="D3" s="15" t="s">
        <v>536</v>
      </c>
    </row>
    <row r="4" spans="1:4">
      <c r="A4" s="13" t="s">
        <v>186</v>
      </c>
      <c r="B4" s="14" t="s">
        <v>100</v>
      </c>
      <c r="C4" s="15" t="s">
        <v>533</v>
      </c>
      <c r="D4" s="15" t="s">
        <v>534</v>
      </c>
    </row>
    <row r="5" spans="1:4">
      <c r="A5" s="16" t="s">
        <v>186</v>
      </c>
      <c r="B5" s="17" t="s">
        <v>423</v>
      </c>
      <c r="C5" s="18" t="s">
        <v>537</v>
      </c>
      <c r="D5" s="18" t="s">
        <v>538</v>
      </c>
    </row>
    <row r="6" spans="1:4">
      <c r="A6" s="13" t="s">
        <v>186</v>
      </c>
      <c r="B6" s="14" t="s">
        <v>46</v>
      </c>
      <c r="C6" s="15" t="s">
        <v>539</v>
      </c>
      <c r="D6" s="15" t="s">
        <v>540</v>
      </c>
    </row>
    <row r="7" spans="1:4">
      <c r="A7" s="13" t="s">
        <v>182</v>
      </c>
      <c r="B7" s="14" t="s">
        <v>75</v>
      </c>
      <c r="C7" s="15" t="s">
        <v>541</v>
      </c>
      <c r="D7" s="15" t="s">
        <v>542</v>
      </c>
    </row>
    <row r="8" spans="1:4">
      <c r="A8" s="13" t="s">
        <v>182</v>
      </c>
      <c r="B8" s="14" t="s">
        <v>162</v>
      </c>
      <c r="C8" s="15" t="s">
        <v>550</v>
      </c>
      <c r="D8" s="15" t="s">
        <v>551</v>
      </c>
    </row>
    <row r="9" spans="1:4">
      <c r="A9" s="13" t="s">
        <v>182</v>
      </c>
      <c r="B9" s="14" t="s">
        <v>40</v>
      </c>
      <c r="C9" s="15" t="s">
        <v>548</v>
      </c>
      <c r="D9" s="15" t="s">
        <v>549</v>
      </c>
    </row>
    <row r="10" spans="1:4">
      <c r="A10" s="14" t="s">
        <v>182</v>
      </c>
      <c r="B10" s="14" t="s">
        <v>428</v>
      </c>
      <c r="C10" s="15" t="s">
        <v>543</v>
      </c>
      <c r="D10" s="15" t="s">
        <v>544</v>
      </c>
    </row>
    <row r="11" spans="1:4" ht="28.5">
      <c r="A11" s="14" t="s">
        <v>182</v>
      </c>
      <c r="B11" s="14" t="s">
        <v>426</v>
      </c>
      <c r="C11" s="15" t="s">
        <v>545</v>
      </c>
      <c r="D11" s="19" t="s">
        <v>766</v>
      </c>
    </row>
    <row r="12" spans="1:4">
      <c r="A12" s="13" t="s">
        <v>182</v>
      </c>
      <c r="B12" s="14" t="s">
        <v>103</v>
      </c>
      <c r="C12" s="15" t="s">
        <v>546</v>
      </c>
      <c r="D12" s="15" t="s">
        <v>547</v>
      </c>
    </row>
    <row r="13" spans="1:4">
      <c r="A13" s="13" t="s">
        <v>184</v>
      </c>
      <c r="B13" s="14" t="s">
        <v>54</v>
      </c>
      <c r="C13" s="15" t="s">
        <v>554</v>
      </c>
      <c r="D13" s="15" t="s">
        <v>555</v>
      </c>
    </row>
    <row r="14" spans="1:4">
      <c r="A14" s="13" t="s">
        <v>184</v>
      </c>
      <c r="B14" s="14" t="s">
        <v>70</v>
      </c>
      <c r="C14" s="15" t="s">
        <v>558</v>
      </c>
      <c r="D14" s="15" t="s">
        <v>559</v>
      </c>
    </row>
    <row r="15" spans="1:4">
      <c r="A15" s="13" t="s">
        <v>184</v>
      </c>
      <c r="B15" s="14" t="s">
        <v>91</v>
      </c>
      <c r="C15" s="15" t="s">
        <v>566</v>
      </c>
      <c r="D15" s="15" t="s">
        <v>567</v>
      </c>
    </row>
    <row r="16" spans="1:4">
      <c r="A16" s="13" t="s">
        <v>184</v>
      </c>
      <c r="B16" s="13" t="s">
        <v>743</v>
      </c>
      <c r="C16" s="19" t="s">
        <v>764</v>
      </c>
      <c r="D16" s="20" t="s">
        <v>767</v>
      </c>
    </row>
    <row r="17" spans="1:4">
      <c r="A17" s="13" t="s">
        <v>184</v>
      </c>
      <c r="B17" s="14" t="s">
        <v>104</v>
      </c>
      <c r="C17" s="15" t="s">
        <v>556</v>
      </c>
      <c r="D17" s="15" t="s">
        <v>557</v>
      </c>
    </row>
    <row r="18" spans="1:4">
      <c r="A18" s="13" t="s">
        <v>184</v>
      </c>
      <c r="B18" s="14" t="s">
        <v>72</v>
      </c>
      <c r="C18" s="15" t="s">
        <v>562</v>
      </c>
      <c r="D18" s="15" t="s">
        <v>563</v>
      </c>
    </row>
    <row r="19" spans="1:4">
      <c r="A19" s="13" t="s">
        <v>184</v>
      </c>
      <c r="B19" s="14" t="s">
        <v>97</v>
      </c>
      <c r="C19" s="15" t="s">
        <v>560</v>
      </c>
      <c r="D19" s="15" t="s">
        <v>561</v>
      </c>
    </row>
    <row r="20" spans="1:4">
      <c r="A20" s="13" t="s">
        <v>184</v>
      </c>
      <c r="B20" s="14" t="s">
        <v>73</v>
      </c>
      <c r="C20" s="15" t="s">
        <v>568</v>
      </c>
      <c r="D20" s="15" t="s">
        <v>569</v>
      </c>
    </row>
    <row r="21" spans="1:4" ht="28.5">
      <c r="A21" s="13" t="s">
        <v>184</v>
      </c>
      <c r="B21" s="14" t="s">
        <v>71</v>
      </c>
      <c r="C21" s="15" t="s">
        <v>552</v>
      </c>
      <c r="D21" s="15" t="s">
        <v>553</v>
      </c>
    </row>
    <row r="22" spans="1:4">
      <c r="A22" s="13" t="s">
        <v>184</v>
      </c>
      <c r="B22" s="13" t="s">
        <v>755</v>
      </c>
      <c r="C22" s="19" t="s">
        <v>765</v>
      </c>
      <c r="D22" s="20" t="s">
        <v>768</v>
      </c>
    </row>
    <row r="23" spans="1:4">
      <c r="A23" s="13" t="s">
        <v>184</v>
      </c>
      <c r="B23" s="14" t="s">
        <v>68</v>
      </c>
      <c r="C23" s="15" t="s">
        <v>570</v>
      </c>
      <c r="D23" s="15" t="s">
        <v>571</v>
      </c>
    </row>
    <row r="24" spans="1:4" ht="28.5">
      <c r="A24" s="13" t="s">
        <v>184</v>
      </c>
      <c r="B24" s="14" t="s">
        <v>50</v>
      </c>
      <c r="C24" s="15" t="s">
        <v>564</v>
      </c>
      <c r="D24" s="15" t="s">
        <v>565</v>
      </c>
    </row>
    <row r="25" spans="1:4">
      <c r="A25" s="13" t="s">
        <v>181</v>
      </c>
      <c r="B25" s="14" t="s">
        <v>34</v>
      </c>
      <c r="C25" s="15" t="s">
        <v>574</v>
      </c>
      <c r="D25" s="15" t="s">
        <v>575</v>
      </c>
    </row>
    <row r="26" spans="1:4">
      <c r="A26" s="13" t="s">
        <v>181</v>
      </c>
      <c r="B26" s="14" t="s">
        <v>33</v>
      </c>
      <c r="C26" s="15" t="s">
        <v>572</v>
      </c>
      <c r="D26" s="15" t="s">
        <v>573</v>
      </c>
    </row>
    <row r="27" spans="1:4">
      <c r="A27" s="13" t="s">
        <v>178</v>
      </c>
      <c r="B27" s="14" t="s">
        <v>30</v>
      </c>
      <c r="C27" s="15" t="s">
        <v>588</v>
      </c>
      <c r="D27" s="15" t="s">
        <v>589</v>
      </c>
    </row>
    <row r="28" spans="1:4" ht="28.5">
      <c r="A28" s="13" t="s">
        <v>178</v>
      </c>
      <c r="B28" s="14" t="s">
        <v>59</v>
      </c>
      <c r="C28" s="15" t="s">
        <v>586</v>
      </c>
      <c r="D28" s="15" t="s">
        <v>587</v>
      </c>
    </row>
    <row r="29" spans="1:4" ht="28.5">
      <c r="A29" s="13" t="s">
        <v>178</v>
      </c>
      <c r="B29" s="14" t="s">
        <v>86</v>
      </c>
      <c r="C29" s="15" t="s">
        <v>580</v>
      </c>
      <c r="D29" s="15" t="s">
        <v>581</v>
      </c>
    </row>
    <row r="30" spans="1:4" ht="28.5">
      <c r="A30" s="13" t="s">
        <v>178</v>
      </c>
      <c r="B30" s="14" t="s">
        <v>37</v>
      </c>
      <c r="C30" s="15" t="s">
        <v>582</v>
      </c>
      <c r="D30" s="15" t="s">
        <v>583</v>
      </c>
    </row>
    <row r="31" spans="1:4" ht="28.5">
      <c r="A31" s="13" t="s">
        <v>178</v>
      </c>
      <c r="B31" s="14" t="s">
        <v>101</v>
      </c>
      <c r="C31" s="15" t="s">
        <v>578</v>
      </c>
      <c r="D31" s="15" t="s">
        <v>579</v>
      </c>
    </row>
    <row r="32" spans="1:4" ht="28.5">
      <c r="A32" s="13" t="s">
        <v>178</v>
      </c>
      <c r="B32" s="14" t="s">
        <v>36</v>
      </c>
      <c r="C32" s="15" t="s">
        <v>576</v>
      </c>
      <c r="D32" s="15" t="s">
        <v>577</v>
      </c>
    </row>
    <row r="33" spans="1:4">
      <c r="A33" s="13" t="s">
        <v>178</v>
      </c>
      <c r="B33" s="14" t="s">
        <v>81</v>
      </c>
      <c r="C33" s="15" t="s">
        <v>584</v>
      </c>
      <c r="D33" s="15" t="s">
        <v>585</v>
      </c>
    </row>
    <row r="34" spans="1:4">
      <c r="A34" s="13" t="s">
        <v>177</v>
      </c>
      <c r="B34" s="14" t="s">
        <v>90</v>
      </c>
      <c r="C34" s="15" t="s">
        <v>599</v>
      </c>
      <c r="D34" s="15" t="s">
        <v>600</v>
      </c>
    </row>
    <row r="35" spans="1:4" ht="28.5">
      <c r="A35" s="13" t="s">
        <v>177</v>
      </c>
      <c r="B35" s="14" t="s">
        <v>38</v>
      </c>
      <c r="C35" s="15" t="s">
        <v>598</v>
      </c>
      <c r="D35" s="15" t="s">
        <v>769</v>
      </c>
    </row>
    <row r="36" spans="1:4">
      <c r="A36" s="13" t="s">
        <v>177</v>
      </c>
      <c r="B36" s="14" t="s">
        <v>39</v>
      </c>
      <c r="C36" s="15" t="s">
        <v>603</v>
      </c>
      <c r="D36" s="15" t="s">
        <v>604</v>
      </c>
    </row>
    <row r="37" spans="1:4" ht="28.5">
      <c r="A37" s="13" t="s">
        <v>177</v>
      </c>
      <c r="B37" s="14" t="s">
        <v>69</v>
      </c>
      <c r="C37" s="15" t="s">
        <v>605</v>
      </c>
      <c r="D37" s="15" t="s">
        <v>606</v>
      </c>
    </row>
    <row r="38" spans="1:4">
      <c r="A38" s="13" t="s">
        <v>177</v>
      </c>
      <c r="B38" s="14" t="s">
        <v>67</v>
      </c>
      <c r="C38" s="15" t="s">
        <v>615</v>
      </c>
      <c r="D38" s="15" t="s">
        <v>616</v>
      </c>
    </row>
    <row r="39" spans="1:4">
      <c r="A39" s="13" t="s">
        <v>177</v>
      </c>
      <c r="B39" s="14" t="s">
        <v>61</v>
      </c>
      <c r="C39" s="15" t="s">
        <v>607</v>
      </c>
      <c r="D39" s="15" t="s">
        <v>608</v>
      </c>
    </row>
    <row r="40" spans="1:4">
      <c r="A40" s="13" t="s">
        <v>177</v>
      </c>
      <c r="B40" s="14" t="s">
        <v>48</v>
      </c>
      <c r="C40" s="15" t="s">
        <v>623</v>
      </c>
      <c r="D40" s="15" t="s">
        <v>624</v>
      </c>
    </row>
    <row r="41" spans="1:4">
      <c r="A41" s="14" t="s">
        <v>177</v>
      </c>
      <c r="B41" s="14" t="s">
        <v>430</v>
      </c>
      <c r="C41" s="15" t="s">
        <v>621</v>
      </c>
      <c r="D41" s="15" t="s">
        <v>622</v>
      </c>
    </row>
    <row r="42" spans="1:4" ht="28.5">
      <c r="A42" s="13" t="s">
        <v>177</v>
      </c>
      <c r="B42" s="14" t="s">
        <v>49</v>
      </c>
      <c r="C42" s="15" t="s">
        <v>592</v>
      </c>
      <c r="D42" s="15" t="s">
        <v>593</v>
      </c>
    </row>
    <row r="43" spans="1:4" ht="28.5">
      <c r="A43" s="13" t="s">
        <v>177</v>
      </c>
      <c r="B43" s="14" t="s">
        <v>98</v>
      </c>
      <c r="C43" s="15" t="s">
        <v>594</v>
      </c>
      <c r="D43" s="15" t="s">
        <v>595</v>
      </c>
    </row>
    <row r="44" spans="1:4" ht="28.5">
      <c r="A44" s="13" t="s">
        <v>177</v>
      </c>
      <c r="B44" s="14" t="s">
        <v>29</v>
      </c>
      <c r="C44" s="15" t="s">
        <v>611</v>
      </c>
      <c r="D44" s="15" t="s">
        <v>612</v>
      </c>
    </row>
    <row r="45" spans="1:4">
      <c r="A45" s="13" t="s">
        <v>177</v>
      </c>
      <c r="B45" s="14" t="s">
        <v>53</v>
      </c>
      <c r="C45" s="15" t="s">
        <v>590</v>
      </c>
      <c r="D45" s="15" t="s">
        <v>591</v>
      </c>
    </row>
    <row r="46" spans="1:4">
      <c r="A46" s="13" t="s">
        <v>177</v>
      </c>
      <c r="B46" s="14" t="s">
        <v>55</v>
      </c>
      <c r="C46" s="15" t="s">
        <v>627</v>
      </c>
      <c r="D46" s="15" t="s">
        <v>628</v>
      </c>
    </row>
    <row r="47" spans="1:4" ht="28.5">
      <c r="A47" s="13" t="s">
        <v>177</v>
      </c>
      <c r="B47" s="14" t="s">
        <v>96</v>
      </c>
      <c r="C47" s="15" t="s">
        <v>613</v>
      </c>
      <c r="D47" s="15" t="s">
        <v>614</v>
      </c>
    </row>
    <row r="48" spans="1:4">
      <c r="A48" s="13" t="s">
        <v>177</v>
      </c>
      <c r="B48" s="14" t="s">
        <v>80</v>
      </c>
      <c r="C48" s="15" t="s">
        <v>617</v>
      </c>
      <c r="D48" s="15" t="s">
        <v>618</v>
      </c>
    </row>
    <row r="49" spans="1:4">
      <c r="A49" s="13" t="s">
        <v>177</v>
      </c>
      <c r="B49" s="14" t="s">
        <v>74</v>
      </c>
      <c r="C49" s="15" t="s">
        <v>619</v>
      </c>
      <c r="D49" s="15" t="s">
        <v>620</v>
      </c>
    </row>
    <row r="50" spans="1:4">
      <c r="A50" s="13" t="s">
        <v>177</v>
      </c>
      <c r="B50" s="14" t="s">
        <v>102</v>
      </c>
      <c r="C50" s="15" t="s">
        <v>631</v>
      </c>
      <c r="D50" s="15" t="s">
        <v>632</v>
      </c>
    </row>
    <row r="51" spans="1:4">
      <c r="A51" s="13" t="s">
        <v>177</v>
      </c>
      <c r="B51" s="14" t="s">
        <v>47</v>
      </c>
      <c r="C51" s="15" t="s">
        <v>601</v>
      </c>
      <c r="D51" s="15" t="s">
        <v>602</v>
      </c>
    </row>
    <row r="52" spans="1:4" ht="28.5">
      <c r="A52" s="13" t="s">
        <v>177</v>
      </c>
      <c r="B52" s="14" t="s">
        <v>64</v>
      </c>
      <c r="C52" s="15" t="s">
        <v>629</v>
      </c>
      <c r="D52" s="15" t="s">
        <v>630</v>
      </c>
    </row>
    <row r="53" spans="1:4">
      <c r="A53" s="13" t="s">
        <v>177</v>
      </c>
      <c r="B53" s="14" t="s">
        <v>35</v>
      </c>
      <c r="C53" s="15" t="s">
        <v>625</v>
      </c>
      <c r="D53" s="15" t="s">
        <v>626</v>
      </c>
    </row>
    <row r="54" spans="1:4" ht="28.5">
      <c r="A54" s="13" t="s">
        <v>177</v>
      </c>
      <c r="B54" s="14" t="s">
        <v>92</v>
      </c>
      <c r="C54" s="15" t="s">
        <v>609</v>
      </c>
      <c r="D54" s="15" t="s">
        <v>610</v>
      </c>
    </row>
    <row r="55" spans="1:4">
      <c r="A55" s="14" t="s">
        <v>177</v>
      </c>
      <c r="B55" s="14" t="s">
        <v>433</v>
      </c>
      <c r="C55" s="15" t="s">
        <v>596</v>
      </c>
      <c r="D55" s="15" t="s">
        <v>597</v>
      </c>
    </row>
    <row r="56" spans="1:4">
      <c r="A56" s="13" t="s">
        <v>176</v>
      </c>
      <c r="B56" s="14" t="s">
        <v>105</v>
      </c>
      <c r="C56" s="15" t="s">
        <v>659</v>
      </c>
      <c r="D56" s="15" t="s">
        <v>660</v>
      </c>
    </row>
    <row r="57" spans="1:4">
      <c r="A57" s="13" t="s">
        <v>176</v>
      </c>
      <c r="B57" s="14" t="s">
        <v>159</v>
      </c>
      <c r="C57" s="15" t="s">
        <v>633</v>
      </c>
      <c r="D57" s="15" t="s">
        <v>664</v>
      </c>
    </row>
    <row r="58" spans="1:4">
      <c r="A58" s="13" t="s">
        <v>176</v>
      </c>
      <c r="B58" s="14" t="s">
        <v>99</v>
      </c>
      <c r="C58" s="15" t="s">
        <v>684</v>
      </c>
      <c r="D58" s="15" t="s">
        <v>685</v>
      </c>
    </row>
    <row r="59" spans="1:4">
      <c r="A59" s="13" t="s">
        <v>176</v>
      </c>
      <c r="B59" s="14" t="s">
        <v>78</v>
      </c>
      <c r="C59" s="15" t="s">
        <v>653</v>
      </c>
      <c r="D59" s="15" t="s">
        <v>654</v>
      </c>
    </row>
    <row r="60" spans="1:4">
      <c r="A60" s="13" t="s">
        <v>176</v>
      </c>
      <c r="B60" s="14" t="s">
        <v>164</v>
      </c>
      <c r="C60" s="15" t="s">
        <v>633</v>
      </c>
      <c r="D60" s="15" t="s">
        <v>634</v>
      </c>
    </row>
    <row r="61" spans="1:4" ht="28.5">
      <c r="A61" s="13" t="s">
        <v>176</v>
      </c>
      <c r="B61" s="14" t="s">
        <v>52</v>
      </c>
      <c r="C61" s="15" t="s">
        <v>648</v>
      </c>
      <c r="D61" s="15" t="s">
        <v>649</v>
      </c>
    </row>
    <row r="62" spans="1:4" ht="28.5">
      <c r="A62" s="13" t="s">
        <v>176</v>
      </c>
      <c r="B62" s="14" t="s">
        <v>51</v>
      </c>
      <c r="C62" s="15" t="s">
        <v>646</v>
      </c>
      <c r="D62" s="15" t="s">
        <v>647</v>
      </c>
    </row>
    <row r="63" spans="1:4">
      <c r="A63" s="13" t="s">
        <v>176</v>
      </c>
      <c r="B63" s="14" t="s">
        <v>41</v>
      </c>
      <c r="C63" s="15" t="s">
        <v>641</v>
      </c>
      <c r="D63" s="15" t="s">
        <v>642</v>
      </c>
    </row>
    <row r="64" spans="1:4" ht="28.5">
      <c r="A64" s="13" t="s">
        <v>176</v>
      </c>
      <c r="B64" s="14" t="s">
        <v>87</v>
      </c>
      <c r="C64" s="15" t="s">
        <v>677</v>
      </c>
      <c r="D64" s="15" t="s">
        <v>678</v>
      </c>
    </row>
    <row r="65" spans="1:4">
      <c r="A65" s="13" t="s">
        <v>176</v>
      </c>
      <c r="B65" s="14" t="s">
        <v>84</v>
      </c>
      <c r="C65" s="15" t="s">
        <v>639</v>
      </c>
      <c r="D65" s="15" t="s">
        <v>640</v>
      </c>
    </row>
    <row r="66" spans="1:4">
      <c r="A66" s="13" t="s">
        <v>176</v>
      </c>
      <c r="B66" s="14" t="s">
        <v>94</v>
      </c>
      <c r="C66" s="15" t="s">
        <v>686</v>
      </c>
      <c r="D66" s="15" t="s">
        <v>687</v>
      </c>
    </row>
    <row r="67" spans="1:4">
      <c r="A67" s="13" t="s">
        <v>176</v>
      </c>
      <c r="B67" s="14" t="s">
        <v>165</v>
      </c>
      <c r="C67" s="15" t="s">
        <v>633</v>
      </c>
      <c r="D67" s="15" t="s">
        <v>667</v>
      </c>
    </row>
    <row r="68" spans="1:4">
      <c r="A68" s="13" t="s">
        <v>176</v>
      </c>
      <c r="B68" s="14" t="s">
        <v>93</v>
      </c>
      <c r="C68" s="15" t="s">
        <v>690</v>
      </c>
      <c r="D68" s="15" t="s">
        <v>691</v>
      </c>
    </row>
    <row r="69" spans="1:4" ht="28.5">
      <c r="A69" s="13" t="s">
        <v>176</v>
      </c>
      <c r="B69" s="14" t="s">
        <v>42</v>
      </c>
      <c r="C69" s="15" t="s">
        <v>665</v>
      </c>
      <c r="D69" s="15" t="s">
        <v>666</v>
      </c>
    </row>
    <row r="70" spans="1:4" ht="28.5">
      <c r="A70" s="13" t="s">
        <v>176</v>
      </c>
      <c r="B70" s="14" t="s">
        <v>88</v>
      </c>
      <c r="C70" s="15" t="s">
        <v>671</v>
      </c>
      <c r="D70" s="15" t="s">
        <v>672</v>
      </c>
    </row>
    <row r="71" spans="1:4" ht="28.5">
      <c r="A71" s="13" t="s">
        <v>176</v>
      </c>
      <c r="B71" s="14" t="s">
        <v>106</v>
      </c>
      <c r="C71" s="15" t="s">
        <v>650</v>
      </c>
      <c r="D71" s="15" t="s">
        <v>651</v>
      </c>
    </row>
    <row r="72" spans="1:4">
      <c r="A72" s="13" t="s">
        <v>176</v>
      </c>
      <c r="B72" s="14" t="s">
        <v>163</v>
      </c>
      <c r="C72" s="15" t="s">
        <v>633</v>
      </c>
      <c r="D72" s="15" t="s">
        <v>652</v>
      </c>
    </row>
    <row r="73" spans="1:4">
      <c r="A73" s="13" t="s">
        <v>176</v>
      </c>
      <c r="B73" s="14" t="s">
        <v>160</v>
      </c>
      <c r="C73" s="15" t="s">
        <v>633</v>
      </c>
      <c r="D73" s="15" t="s">
        <v>668</v>
      </c>
    </row>
    <row r="74" spans="1:4">
      <c r="A74" s="13" t="s">
        <v>176</v>
      </c>
      <c r="B74" s="14" t="s">
        <v>27</v>
      </c>
      <c r="C74" s="15" t="s">
        <v>635</v>
      </c>
      <c r="D74" s="15" t="s">
        <v>636</v>
      </c>
    </row>
    <row r="75" spans="1:4">
      <c r="A75" s="13" t="s">
        <v>176</v>
      </c>
      <c r="B75" s="14" t="s">
        <v>158</v>
      </c>
      <c r="C75" s="15" t="s">
        <v>633</v>
      </c>
      <c r="D75" s="15" t="s">
        <v>681</v>
      </c>
    </row>
    <row r="76" spans="1:4">
      <c r="A76" s="13" t="s">
        <v>176</v>
      </c>
      <c r="B76" s="14" t="s">
        <v>166</v>
      </c>
      <c r="C76" s="15" t="s">
        <v>633</v>
      </c>
      <c r="D76" s="15" t="s">
        <v>670</v>
      </c>
    </row>
    <row r="77" spans="1:4">
      <c r="A77" s="13" t="s">
        <v>176</v>
      </c>
      <c r="B77" s="14" t="s">
        <v>79</v>
      </c>
      <c r="C77" s="15" t="s">
        <v>669</v>
      </c>
      <c r="D77" s="15" t="s">
        <v>670</v>
      </c>
    </row>
    <row r="78" spans="1:4" ht="28.5">
      <c r="A78" s="13" t="s">
        <v>176</v>
      </c>
      <c r="B78" s="14" t="s">
        <v>66</v>
      </c>
      <c r="C78" s="15" t="s">
        <v>679</v>
      </c>
      <c r="D78" s="15" t="s">
        <v>680</v>
      </c>
    </row>
    <row r="79" spans="1:4" ht="28.5">
      <c r="A79" s="13" t="s">
        <v>176</v>
      </c>
      <c r="B79" s="14" t="s">
        <v>26</v>
      </c>
      <c r="C79" s="15" t="s">
        <v>682</v>
      </c>
      <c r="D79" s="15" t="s">
        <v>683</v>
      </c>
    </row>
    <row r="80" spans="1:4">
      <c r="A80" s="13" t="s">
        <v>176</v>
      </c>
      <c r="B80" s="14" t="s">
        <v>57</v>
      </c>
      <c r="C80" s="15" t="s">
        <v>673</v>
      </c>
      <c r="D80" s="15" t="s">
        <v>674</v>
      </c>
    </row>
    <row r="81" spans="1:4">
      <c r="A81" s="13" t="s">
        <v>176</v>
      </c>
      <c r="B81" s="14" t="s">
        <v>77</v>
      </c>
      <c r="C81" s="15" t="s">
        <v>657</v>
      </c>
      <c r="D81" s="15" t="s">
        <v>658</v>
      </c>
    </row>
    <row r="82" spans="1:4">
      <c r="A82" s="13" t="s">
        <v>176</v>
      </c>
      <c r="B82" s="14" t="s">
        <v>28</v>
      </c>
      <c r="C82" s="15" t="s">
        <v>633</v>
      </c>
      <c r="D82" s="15" t="s">
        <v>655</v>
      </c>
    </row>
    <row r="83" spans="1:4">
      <c r="A83" s="14" t="s">
        <v>176</v>
      </c>
      <c r="B83" s="14" t="s">
        <v>438</v>
      </c>
      <c r="C83" s="15" t="s">
        <v>633</v>
      </c>
      <c r="D83" s="15" t="s">
        <v>692</v>
      </c>
    </row>
    <row r="84" spans="1:4">
      <c r="A84" s="13" t="s">
        <v>176</v>
      </c>
      <c r="B84" s="14" t="s">
        <v>83</v>
      </c>
      <c r="C84" s="15" t="s">
        <v>675</v>
      </c>
      <c r="D84" s="15" t="s">
        <v>676</v>
      </c>
    </row>
    <row r="85" spans="1:4" ht="28.5">
      <c r="A85" s="14" t="s">
        <v>176</v>
      </c>
      <c r="B85" s="14" t="s">
        <v>440</v>
      </c>
      <c r="C85" s="15" t="s">
        <v>643</v>
      </c>
      <c r="D85" s="15" t="s">
        <v>644</v>
      </c>
    </row>
    <row r="86" spans="1:4" ht="28.5">
      <c r="A86" s="14" t="s">
        <v>176</v>
      </c>
      <c r="B86" s="14" t="s">
        <v>442</v>
      </c>
      <c r="C86" s="15" t="s">
        <v>661</v>
      </c>
      <c r="D86" s="15" t="s">
        <v>662</v>
      </c>
    </row>
    <row r="87" spans="1:4" ht="28.5">
      <c r="A87" s="14" t="s">
        <v>176</v>
      </c>
      <c r="B87" s="14" t="s">
        <v>443</v>
      </c>
      <c r="C87" s="15" t="s">
        <v>661</v>
      </c>
      <c r="D87" s="15" t="s">
        <v>663</v>
      </c>
    </row>
    <row r="88" spans="1:4">
      <c r="A88" s="14" t="s">
        <v>176</v>
      </c>
      <c r="B88" s="14" t="s">
        <v>447</v>
      </c>
      <c r="C88" s="15" t="s">
        <v>637</v>
      </c>
      <c r="D88" s="15" t="s">
        <v>638</v>
      </c>
    </row>
    <row r="89" spans="1:4">
      <c r="A89" s="13" t="s">
        <v>176</v>
      </c>
      <c r="B89" s="14" t="s">
        <v>76</v>
      </c>
      <c r="C89" s="15" t="s">
        <v>688</v>
      </c>
      <c r="D89" s="15" t="s">
        <v>689</v>
      </c>
    </row>
    <row r="90" spans="1:4">
      <c r="A90" s="14" t="s">
        <v>176</v>
      </c>
      <c r="B90" s="14" t="s">
        <v>448</v>
      </c>
      <c r="C90" s="15" t="s">
        <v>633</v>
      </c>
      <c r="D90" s="15" t="s">
        <v>645</v>
      </c>
    </row>
    <row r="91" spans="1:4">
      <c r="A91" s="13" t="s">
        <v>176</v>
      </c>
      <c r="B91" s="14" t="s">
        <v>161</v>
      </c>
      <c r="C91" s="15" t="s">
        <v>633</v>
      </c>
      <c r="D91" s="15" t="s">
        <v>656</v>
      </c>
    </row>
    <row r="92" spans="1:4" ht="28.5">
      <c r="A92" s="13" t="s">
        <v>180</v>
      </c>
      <c r="B92" s="14" t="s">
        <v>60</v>
      </c>
      <c r="C92" s="15" t="s">
        <v>693</v>
      </c>
      <c r="D92" s="15" t="s">
        <v>694</v>
      </c>
    </row>
    <row r="93" spans="1:4">
      <c r="A93" s="13" t="s">
        <v>180</v>
      </c>
      <c r="B93" s="14" t="s">
        <v>32</v>
      </c>
      <c r="C93" s="15" t="s">
        <v>703</v>
      </c>
      <c r="D93" s="15" t="s">
        <v>704</v>
      </c>
    </row>
    <row r="94" spans="1:4" ht="28.5">
      <c r="A94" s="13" t="s">
        <v>180</v>
      </c>
      <c r="B94" s="14" t="s">
        <v>435</v>
      </c>
      <c r="C94" s="15" t="s">
        <v>695</v>
      </c>
      <c r="D94" s="15" t="s">
        <v>696</v>
      </c>
    </row>
    <row r="95" spans="1:4" ht="28.5">
      <c r="A95" s="13" t="s">
        <v>180</v>
      </c>
      <c r="B95" s="14" t="s">
        <v>85</v>
      </c>
      <c r="C95" s="15" t="s">
        <v>699</v>
      </c>
      <c r="D95" s="15" t="s">
        <v>700</v>
      </c>
    </row>
    <row r="96" spans="1:4">
      <c r="A96" s="13" t="s">
        <v>180</v>
      </c>
      <c r="B96" s="14" t="s">
        <v>45</v>
      </c>
      <c r="C96" s="15" t="s">
        <v>701</v>
      </c>
      <c r="D96" s="15" t="s">
        <v>702</v>
      </c>
    </row>
    <row r="97" spans="1:4">
      <c r="A97" s="13" t="s">
        <v>180</v>
      </c>
      <c r="B97" s="14" t="s">
        <v>95</v>
      </c>
      <c r="C97" s="15" t="s">
        <v>697</v>
      </c>
      <c r="D97" s="15" t="s">
        <v>698</v>
      </c>
    </row>
    <row r="98" spans="1:4" ht="28.5">
      <c r="A98" s="13" t="s">
        <v>179</v>
      </c>
      <c r="B98" s="14" t="s">
        <v>58</v>
      </c>
      <c r="C98" s="15" t="s">
        <v>713</v>
      </c>
      <c r="D98" s="15" t="s">
        <v>714</v>
      </c>
    </row>
    <row r="99" spans="1:4">
      <c r="A99" s="13" t="s">
        <v>179</v>
      </c>
      <c r="B99" s="14" t="s">
        <v>31</v>
      </c>
      <c r="C99" s="15" t="s">
        <v>705</v>
      </c>
      <c r="D99" s="15" t="s">
        <v>706</v>
      </c>
    </row>
    <row r="100" spans="1:4">
      <c r="A100" s="13" t="s">
        <v>179</v>
      </c>
      <c r="B100" s="14" t="s">
        <v>107</v>
      </c>
      <c r="C100" s="15" t="s">
        <v>711</v>
      </c>
      <c r="D100" s="15" t="s">
        <v>712</v>
      </c>
    </row>
    <row r="101" spans="1:4">
      <c r="A101" s="13" t="s">
        <v>179</v>
      </c>
      <c r="B101" s="14" t="s">
        <v>63</v>
      </c>
      <c r="C101" s="15" t="s">
        <v>707</v>
      </c>
      <c r="D101" s="15" t="s">
        <v>708</v>
      </c>
    </row>
    <row r="102" spans="1:4">
      <c r="A102" s="13" t="s">
        <v>179</v>
      </c>
      <c r="B102" s="14" t="s">
        <v>82</v>
      </c>
      <c r="C102" s="15" t="s">
        <v>709</v>
      </c>
      <c r="D102" s="15" t="s">
        <v>710</v>
      </c>
    </row>
    <row r="103" spans="1:4">
      <c r="A103" s="13" t="s">
        <v>185</v>
      </c>
      <c r="B103" s="14" t="s">
        <v>65</v>
      </c>
      <c r="C103" s="15" t="s">
        <v>717</v>
      </c>
      <c r="D103" s="15" t="s">
        <v>718</v>
      </c>
    </row>
    <row r="104" spans="1:4" ht="28.5">
      <c r="A104" s="13" t="s">
        <v>185</v>
      </c>
      <c r="B104" s="14" t="s">
        <v>56</v>
      </c>
      <c r="C104" s="15" t="s">
        <v>715</v>
      </c>
      <c r="D104" s="15" t="s">
        <v>716</v>
      </c>
    </row>
    <row r="105" spans="1:4" ht="28.5">
      <c r="A105" s="13" t="s">
        <v>187</v>
      </c>
      <c r="B105" s="14" t="s">
        <v>108</v>
      </c>
      <c r="C105" s="15" t="s">
        <v>719</v>
      </c>
      <c r="D105" s="15" t="s">
        <v>720</v>
      </c>
    </row>
    <row r="106" spans="1:4">
      <c r="A106" s="13" t="s">
        <v>183</v>
      </c>
      <c r="B106" s="14" t="s">
        <v>43</v>
      </c>
      <c r="C106" s="15" t="s">
        <v>723</v>
      </c>
      <c r="D106" s="15" t="s">
        <v>724</v>
      </c>
    </row>
    <row r="107" spans="1:4">
      <c r="A107" s="13" t="s">
        <v>183</v>
      </c>
      <c r="B107" s="14" t="s">
        <v>44</v>
      </c>
      <c r="C107" s="15" t="s">
        <v>721</v>
      </c>
      <c r="D107" s="15" t="s">
        <v>722</v>
      </c>
    </row>
    <row r="114" spans="1:4">
      <c r="A114" s="13"/>
      <c r="B114" s="14"/>
      <c r="C114" s="15"/>
      <c r="D114" s="15"/>
    </row>
  </sheetData>
  <sortState xmlns:xlrd2="http://schemas.microsoft.com/office/spreadsheetml/2017/richdata2" ref="A2:D105">
    <sortCondition ref="A1"/>
  </sortState>
  <customSheetViews>
    <customSheetView guid="{2D7AA37D-8C06-47FC-8F44-3FA6E78D04F2}" fitToPage="1" topLeftCell="A104">
      <selection activeCell="D119" sqref="A108:D119"/>
      <rowBreaks count="9" manualBreakCount="9">
        <brk id="6" max="16383" man="1"/>
        <brk id="12" max="16383" man="1"/>
        <brk id="24" max="16383" man="1"/>
        <brk id="26" max="16383" man="1"/>
        <brk id="33" max="16383" man="1"/>
        <brk id="55" max="16383" man="1"/>
        <brk id="91" max="16383" man="1"/>
        <brk id="97" max="16383" man="1"/>
        <brk id="102" max="16383" man="1"/>
      </rowBreaks>
      <colBreaks count="1" manualBreakCount="1">
        <brk id="1" max="1048575" man="1"/>
      </colBreaks>
      <pageMargins left="0.7" right="0.7" top="0.75" bottom="0.75" header="0.3" footer="0.3"/>
      <pageSetup fitToHeight="0" orientation="landscape" r:id="rId1"/>
    </customSheetView>
    <customSheetView guid="{9C8ADCBA-1E8C-4961-B877-3E192DBDFA7A}" showPageBreaks="1" fitToPage="1" topLeftCell="A70">
      <selection activeCell="D119" sqref="A108:D119"/>
      <rowBreaks count="9" manualBreakCount="9">
        <brk id="6" max="16383" man="1"/>
        <brk id="12" max="16383" man="1"/>
        <brk id="24" max="16383" man="1"/>
        <brk id="26" max="16383" man="1"/>
        <brk id="33" max="16383" man="1"/>
        <brk id="55" max="16383" man="1"/>
        <brk id="91" max="16383" man="1"/>
        <brk id="97" max="16383" man="1"/>
        <brk id="102" max="16383" man="1"/>
      </rowBreaks>
      <colBreaks count="1" manualBreakCount="1">
        <brk id="1" max="1048575" man="1"/>
      </colBreaks>
      <pageMargins left="0.7" right="0.7" top="0.75" bottom="0.75" header="0.3" footer="0.3"/>
      <pageSetup fitToHeight="0" orientation="landscape" r:id="rId2"/>
    </customSheetView>
  </customSheetViews>
  <pageMargins left="0.7" right="0.7" top="0.75" bottom="0.75" header="0.3" footer="0.3"/>
  <pageSetup fitToHeight="0" orientation="landscape" r:id="rId3"/>
  <rowBreaks count="9" manualBreakCount="9">
    <brk id="6" max="16383" man="1"/>
    <brk id="12" max="16383" man="1"/>
    <brk id="24" max="16383" man="1"/>
    <brk id="26" max="16383" man="1"/>
    <brk id="33" max="16383" man="1"/>
    <brk id="55" max="16383" man="1"/>
    <brk id="91" max="16383" man="1"/>
    <brk id="97" max="16383" man="1"/>
    <brk id="102" max="16383" man="1"/>
  </rowBreaks>
  <colBreaks count="1" manualBreakCount="1">
    <brk id="1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B6"/>
  <sheetViews>
    <sheetView workbookViewId="0">
      <selection activeCell="A7" sqref="A7"/>
    </sheetView>
  </sheetViews>
  <sheetFormatPr defaultRowHeight="14.25"/>
  <sheetData>
    <row r="1" spans="1:2">
      <c r="B1" t="s">
        <v>1021</v>
      </c>
    </row>
    <row r="2" spans="1:2">
      <c r="A2" t="s">
        <v>457</v>
      </c>
      <c r="B2">
        <v>2</v>
      </c>
    </row>
    <row r="3" spans="1:2">
      <c r="A3" t="s">
        <v>975</v>
      </c>
      <c r="B3">
        <v>2</v>
      </c>
    </row>
    <row r="4" spans="1:2">
      <c r="A4" t="s">
        <v>1020</v>
      </c>
      <c r="B4">
        <v>1</v>
      </c>
    </row>
    <row r="5" spans="1:2">
      <c r="A5" t="s">
        <v>465</v>
      </c>
      <c r="B5">
        <v>1</v>
      </c>
    </row>
    <row r="6" spans="1:2">
      <c r="A6" t="s">
        <v>928</v>
      </c>
      <c r="B6">
        <v>1</v>
      </c>
    </row>
  </sheetData>
  <pageMargins left="0.7" right="0.7" top="0.75" bottom="0.75" header="0.3" footer="0.3"/>
</worksheet>
</file>

<file path=xl/worksheets/wsSortMap1.xml><?xml version="1.0" encoding="utf-8"?>
<worksheetSortMap xmlns="http://schemas.microsoft.com/office/excel/2006/main">
  <rowSortMap ref="A2:XFD161" count="160">
    <row newVal="1" oldVal="135"/>
    <row newVal="2" oldVal="115"/>
    <row newVal="3" oldVal="1"/>
    <row newVal="4" oldVal="2"/>
    <row newVal="5" oldVal="114"/>
    <row newVal="6" oldVal="3"/>
    <row newVal="7" oldVal="134"/>
    <row newVal="8" oldVal="4"/>
    <row newVal="9" oldVal="5"/>
    <row newVal="10" oldVal="6"/>
    <row newVal="11" oldVal="113"/>
    <row newVal="12" oldVal="7"/>
    <row newVal="13" oldVal="8"/>
    <row newVal="14" oldVal="9"/>
    <row newVal="15" oldVal="10"/>
    <row newVal="16" oldVal="11"/>
    <row newVal="17" oldVal="12"/>
    <row newVal="18" oldVal="13"/>
    <row newVal="19" oldVal="96"/>
    <row newVal="20" oldVal="146"/>
    <row newVal="21" oldVal="14"/>
    <row newVal="22" oldVal="15"/>
    <row newVal="23" oldVal="16"/>
    <row newVal="24" oldVal="17"/>
    <row newVal="25" oldVal="18"/>
    <row newVal="26" oldVal="19"/>
    <row newVal="27" oldVal="20"/>
    <row newVal="28" oldVal="21"/>
    <row newVal="29" oldVal="22"/>
    <row newVal="30" oldVal="23"/>
    <row newVal="31" oldVal="95"/>
    <row newVal="32" oldVal="129"/>
    <row newVal="33" oldVal="24"/>
    <row newVal="34" oldVal="25"/>
    <row newVal="35" oldVal="26"/>
    <row newVal="36" oldVal="27"/>
    <row newVal="37" oldVal="28"/>
    <row newVal="38" oldVal="29"/>
    <row newVal="39" oldVal="30"/>
    <row newVal="40" oldVal="31"/>
    <row newVal="41" oldVal="32"/>
    <row newVal="42" oldVal="33"/>
    <row newVal="43" oldVal="34"/>
    <row newVal="44" oldVal="35"/>
    <row newVal="45" oldVal="36"/>
    <row newVal="46" oldVal="37"/>
    <row newVal="47" oldVal="38"/>
    <row newVal="48" oldVal="39"/>
    <row newVal="49" oldVal="40"/>
    <row newVal="50" oldVal="41"/>
    <row newVal="51" oldVal="42"/>
    <row newVal="52" oldVal="43"/>
    <row newVal="53" oldVal="44"/>
    <row newVal="54" oldVal="45"/>
    <row newVal="55" oldVal="46"/>
    <row newVal="56" oldVal="47"/>
    <row newVal="57" oldVal="48"/>
    <row newVal="58" oldVal="49"/>
    <row newVal="59" oldVal="50"/>
    <row newVal="60" oldVal="51"/>
    <row newVal="61" oldVal="52"/>
    <row newVal="62" oldVal="53"/>
    <row newVal="63" oldVal="54"/>
    <row newVal="64" oldVal="55"/>
    <row newVal="65" oldVal="132"/>
    <row newVal="66" oldVal="133"/>
    <row newVal="67" oldVal="56"/>
    <row newVal="68" oldVal="57"/>
    <row newVal="69" oldVal="58"/>
    <row newVal="70" oldVal="59"/>
    <row newVal="71" oldVal="60"/>
    <row newVal="72" oldVal="61"/>
    <row newVal="73" oldVal="62"/>
    <row newVal="74" oldVal="63"/>
    <row newVal="75" oldVal="64"/>
    <row newVal="76" oldVal="65"/>
    <row newVal="77" oldVal="66"/>
    <row newVal="78" oldVal="67"/>
    <row newVal="79" oldVal="68"/>
    <row newVal="80" oldVal="69"/>
    <row newVal="81" oldVal="70"/>
    <row newVal="82" oldVal="71"/>
    <row newVal="83" oldVal="72"/>
    <row newVal="84" oldVal="73"/>
    <row newVal="85" oldVal="74"/>
    <row newVal="86" oldVal="75"/>
    <row newVal="87" oldVal="76"/>
    <row newVal="88" oldVal="77"/>
    <row newVal="89" oldVal="78"/>
    <row newVal="90" oldVal="79"/>
    <row newVal="91" oldVal="90"/>
    <row newVal="92" oldVal="91"/>
    <row newVal="93" oldVal="136"/>
    <row newVal="94" oldVal="80"/>
    <row newVal="95" oldVal="81"/>
    <row newVal="96" oldVal="82"/>
    <row newVal="97" oldVal="83"/>
    <row newVal="98" oldVal="84"/>
    <row newVal="99" oldVal="85"/>
    <row newVal="100" oldVal="86"/>
    <row newVal="101" oldVal="87"/>
    <row newVal="102" oldVal="88"/>
    <row newVal="103" oldVal="89"/>
    <row newVal="104" oldVal="92"/>
    <row newVal="105" oldVal="93"/>
    <row newVal="106" oldVal="94"/>
    <row newVal="107" oldVal="97"/>
    <row newVal="108" oldVal="98"/>
    <row newVal="109" oldVal="99"/>
    <row newVal="110" oldVal="112"/>
    <row newVal="111" oldVal="100"/>
    <row newVal="112" oldVal="101"/>
    <row newVal="113" oldVal="102"/>
    <row newVal="114" oldVal="103"/>
    <row newVal="115" oldVal="104"/>
    <row newVal="116" oldVal="105"/>
    <row newVal="117" oldVal="106"/>
    <row newVal="118" oldVal="107"/>
    <row newVal="119" oldVal="108"/>
    <row newVal="120" oldVal="109"/>
    <row newVal="121" oldVal="110"/>
    <row newVal="122" oldVal="111"/>
    <row newVal="123" oldVal="116"/>
    <row newVal="124" oldVal="117"/>
    <row newVal="125" oldVal="118"/>
    <row newVal="126" oldVal="119"/>
    <row newVal="127" oldVal="126"/>
    <row newVal="128" oldVal="127"/>
    <row newVal="129" oldVal="128"/>
    <row newVal="130" oldVal="120"/>
    <row newVal="131" oldVal="121"/>
    <row newVal="132" oldVal="122"/>
    <row newVal="133" oldVal="123"/>
    <row newVal="134" oldVal="124"/>
    <row newVal="135" oldVal="125"/>
    <row newVal="136" oldVal="130"/>
    <row newVal="137" oldVal="131"/>
    <row newVal="138" oldVal="137"/>
    <row newVal="139" oldVal="138"/>
    <row newVal="140" oldVal="139"/>
    <row newVal="141" oldVal="140"/>
    <row newVal="142" oldVal="141"/>
    <row newVal="143" oldVal="142"/>
    <row newVal="144" oldVal="143"/>
    <row newVal="145" oldVal="144"/>
    <row newVal="146" oldVal="159"/>
    <row newVal="147" oldVal="160"/>
    <row newVal="148" oldVal="145"/>
    <row newVal="149" oldVal="147"/>
    <row newVal="150" oldVal="148"/>
    <row newVal="151" oldVal="149"/>
    <row newVal="152" oldVal="150"/>
    <row newVal="153" oldVal="151"/>
    <row newVal="154" oldVal="152"/>
    <row newVal="155" oldVal="153"/>
    <row newVal="156" oldVal="154"/>
    <row newVal="157" oldVal="155"/>
    <row newVal="158" oldVal="156"/>
    <row newVal="159" oldVal="157"/>
    <row newVal="160" oldVal="158"/>
  </rowSortMap>
</worksheetSortMap>
</file>

<file path=xl/worksheets/wsSortMap2.xml><?xml version="1.0" encoding="utf-8"?>
<worksheetSortMap xmlns="http://schemas.microsoft.com/office/excel/2006/main">
  <rowSortMap ref="A2:XFD248" count="244">
    <row newVal="1" oldVal="126"/>
    <row newVal="2" oldVal="125"/>
    <row newVal="3" oldVal="124"/>
    <row newVal="4" oldVal="1"/>
    <row newVal="5" oldVal="2"/>
    <row newVal="6" oldVal="3"/>
    <row newVal="7" oldVal="4"/>
    <row newVal="8" oldVal="5"/>
    <row newVal="9" oldVal="6"/>
    <row newVal="10" oldVal="7"/>
    <row newVal="11" oldVal="8"/>
    <row newVal="12" oldVal="9"/>
    <row newVal="13" oldVal="10"/>
    <row newVal="14" oldVal="11"/>
    <row newVal="15" oldVal="12"/>
    <row newVal="16" oldVal="13"/>
    <row newVal="17" oldVal="14"/>
    <row newVal="18" oldVal="15"/>
    <row newVal="19" oldVal="16"/>
    <row newVal="20" oldVal="17"/>
    <row newVal="21" oldVal="18"/>
    <row newVal="22" oldVal="19"/>
    <row newVal="23" oldVal="20"/>
    <row newVal="24" oldVal="21"/>
    <row newVal="25" oldVal="22"/>
    <row newVal="26" oldVal="23"/>
    <row newVal="27" oldVal="24"/>
    <row newVal="28" oldVal="25"/>
    <row newVal="29" oldVal="26"/>
    <row newVal="30" oldVal="27"/>
    <row newVal="31" oldVal="28"/>
    <row newVal="32" oldVal="29"/>
    <row newVal="33" oldVal="30"/>
    <row newVal="34" oldVal="31"/>
    <row newVal="35" oldVal="191"/>
    <row newVal="36" oldVal="32"/>
    <row newVal="37" oldVal="33"/>
    <row newVal="38" oldVal="34"/>
    <row newVal="39" oldVal="35"/>
    <row newVal="40" oldVal="36"/>
    <row newVal="41" oldVal="37"/>
    <row newVal="42" oldVal="38"/>
    <row newVal="43" oldVal="62"/>
    <row newVal="44" oldVal="39"/>
    <row newVal="45" oldVal="40"/>
    <row newVal="46" oldVal="41"/>
    <row newVal="47" oldVal="42"/>
    <row newVal="48" oldVal="43"/>
    <row newVal="49" oldVal="44"/>
    <row newVal="50" oldVal="45"/>
    <row newVal="51" oldVal="46"/>
    <row newVal="52" oldVal="47"/>
    <row newVal="53" oldVal="48"/>
    <row newVal="54" oldVal="60"/>
    <row newVal="55" oldVal="49"/>
    <row newVal="56" oldVal="50"/>
    <row newVal="57" oldVal="51"/>
    <row newVal="58" oldVal="52"/>
    <row newVal="59" oldVal="53"/>
    <row newVal="60" oldVal="54"/>
    <row newVal="61" oldVal="55"/>
    <row newVal="62" oldVal="56"/>
    <row newVal="63" oldVal="57"/>
    <row newVal="64" oldVal="58"/>
    <row newVal="65" oldVal="59"/>
    <row newVal="66" oldVal="61"/>
    <row newVal="67" oldVal="63"/>
    <row newVal="68" oldVal="64"/>
    <row newVal="69" oldVal="65"/>
    <row newVal="70" oldVal="66"/>
    <row newVal="71" oldVal="67"/>
    <row newVal="72" oldVal="68"/>
    <row newVal="73" oldVal="69"/>
    <row newVal="74" oldVal="70"/>
    <row newVal="75" oldVal="134"/>
    <row newVal="76" oldVal="135"/>
    <row newVal="77" oldVal="71"/>
    <row newVal="78" oldVal="72"/>
    <row newVal="79" oldVal="73"/>
    <row newVal="80" oldVal="136"/>
    <row newVal="81" oldVal="74"/>
    <row newVal="82" oldVal="75"/>
    <row newVal="83" oldVal="76"/>
    <row newVal="84" oldVal="77"/>
    <row newVal="85" oldVal="78"/>
    <row newVal="86" oldVal="79"/>
    <row newVal="87" oldVal="80"/>
    <row newVal="88" oldVal="81"/>
    <row newVal="89" oldVal="82"/>
    <row newVal="90" oldVal="83"/>
    <row newVal="91" oldVal="84"/>
    <row newVal="92" oldVal="85"/>
    <row newVal="93" oldVal="86"/>
    <row newVal="94" oldVal="87"/>
    <row newVal="95" oldVal="88"/>
    <row newVal="96" oldVal="89"/>
    <row newVal="97" oldVal="247"/>
    <row newVal="98" oldVal="90"/>
    <row newVal="99" oldVal="91"/>
    <row newVal="100" oldVal="92"/>
    <row newVal="101" oldVal="93"/>
    <row newVal="102" oldVal="94"/>
    <row newVal="103" oldVal="95"/>
    <row newVal="104" oldVal="96"/>
    <row newVal="105" oldVal="97"/>
    <row newVal="106" oldVal="119"/>
    <row newVal="107" oldVal="98"/>
    <row newVal="108" oldVal="99"/>
    <row newVal="109" oldVal="100"/>
    <row newVal="110" oldVal="101"/>
    <row newVal="111" oldVal="102"/>
    <row newVal="112" oldVal="103"/>
    <row newVal="113" oldVal="104"/>
    <row newVal="114" oldVal="105"/>
    <row newVal="115" oldVal="106"/>
    <row newVal="116" oldVal="107"/>
    <row newVal="117" oldVal="133"/>
    <row newVal="118" oldVal="162"/>
    <row newVal="119" oldVal="108"/>
    <row newVal="120" oldVal="109"/>
    <row newVal="121" oldVal="110"/>
    <row newVal="122" oldVal="111"/>
    <row newVal="123" oldVal="112"/>
    <row newVal="124" oldVal="113"/>
    <row newVal="125" oldVal="114"/>
    <row newVal="126" oldVal="122"/>
    <row newVal="127" oldVal="115"/>
    <row newVal="128" oldVal="116"/>
    <row newVal="129" oldVal="120"/>
    <row newVal="130" oldVal="121"/>
    <row newVal="131" oldVal="117"/>
    <row newVal="132" oldVal="118"/>
    <row newVal="133" oldVal="123"/>
    <row newVal="134" oldVal="127"/>
    <row newVal="135" oldVal="128"/>
    <row newVal="136" oldVal="129"/>
    <row newVal="137" oldVal="130"/>
    <row newVal="138" oldVal="131"/>
    <row newVal="139" oldVal="132"/>
    <row newVal="140" oldVal="137"/>
    <row newVal="141" oldVal="138"/>
    <row newVal="142" oldVal="139"/>
    <row newVal="143" oldVal="140"/>
    <row newVal="144" oldVal="142"/>
    <row newVal="145" oldVal="144"/>
    <row newVal="146" oldVal="145"/>
    <row newVal="147" oldVal="146"/>
    <row newVal="148" oldVal="141"/>
    <row newVal="149" oldVal="143"/>
    <row newVal="150" oldVal="147"/>
    <row newVal="151" oldVal="148"/>
    <row newVal="152" oldVal="149"/>
    <row newVal="153" oldVal="150"/>
    <row newVal="154" oldVal="151"/>
    <row newVal="155" oldVal="152"/>
    <row newVal="156" oldVal="153"/>
    <row newVal="157" oldVal="154"/>
    <row newVal="158" oldVal="155"/>
    <row newVal="159" oldVal="156"/>
    <row newVal="160" oldVal="157"/>
    <row newVal="161" oldVal="158"/>
    <row newVal="162" oldVal="159"/>
    <row newVal="163" oldVal="160"/>
    <row newVal="164" oldVal="161"/>
    <row newVal="165" oldVal="163"/>
    <row newVal="166" oldVal="164"/>
    <row newVal="167" oldVal="165"/>
    <row newVal="168" oldVal="166"/>
    <row newVal="169" oldVal="167"/>
    <row newVal="170" oldVal="168"/>
    <row newVal="171" oldVal="169"/>
    <row newVal="172" oldVal="170"/>
    <row newVal="173" oldVal="171"/>
    <row newVal="174" oldVal="172"/>
    <row newVal="175" oldVal="173"/>
    <row newVal="176" oldVal="174"/>
    <row newVal="177" oldVal="175"/>
    <row newVal="178" oldVal="176"/>
    <row newVal="179" oldVal="177"/>
    <row newVal="180" oldVal="178"/>
    <row newVal="181" oldVal="179"/>
    <row newVal="182" oldVal="180"/>
    <row newVal="183" oldVal="181"/>
    <row newVal="184" oldVal="182"/>
    <row newVal="185" oldVal="183"/>
    <row newVal="186" oldVal="184"/>
    <row newVal="187" oldVal="185"/>
    <row newVal="188" oldVal="186"/>
    <row newVal="189" oldVal="187"/>
    <row newVal="190" oldVal="188"/>
    <row newVal="191" oldVal="189"/>
    <row newVal="192" oldVal="190"/>
    <row newVal="193" oldVal="192"/>
    <row newVal="194" oldVal="193"/>
    <row newVal="195" oldVal="194"/>
    <row newVal="196" oldVal="195"/>
    <row newVal="197" oldVal="196"/>
    <row newVal="198" oldVal="197"/>
    <row newVal="199" oldVal="198"/>
    <row newVal="200" oldVal="199"/>
    <row newVal="203" oldVal="200"/>
    <row newVal="204" oldVal="203"/>
    <row newVal="205" oldVal="204"/>
    <row newVal="206" oldVal="205"/>
    <row newVal="207" oldVal="206"/>
    <row newVal="208" oldVal="207"/>
    <row newVal="209" oldVal="208"/>
    <row newVal="211" oldVal="209"/>
    <row newVal="212" oldVal="211"/>
    <row newVal="213" oldVal="212"/>
    <row newVal="214" oldVal="213"/>
    <row newVal="215" oldVal="214"/>
    <row newVal="216" oldVal="215"/>
    <row newVal="217" oldVal="216"/>
    <row newVal="218" oldVal="217"/>
    <row newVal="219" oldVal="218"/>
    <row newVal="220" oldVal="219"/>
    <row newVal="221" oldVal="220"/>
    <row newVal="222" oldVal="221"/>
    <row newVal="223" oldVal="222"/>
    <row newVal="224" oldVal="223"/>
    <row newVal="225" oldVal="224"/>
    <row newVal="226" oldVal="225"/>
    <row newVal="227" oldVal="226"/>
    <row newVal="228" oldVal="227"/>
    <row newVal="229" oldVal="228"/>
    <row newVal="230" oldVal="229"/>
    <row newVal="231" oldVal="230"/>
    <row newVal="232" oldVal="231"/>
    <row newVal="233" oldVal="232"/>
    <row newVal="234" oldVal="233"/>
    <row newVal="235" oldVal="234"/>
    <row newVal="236" oldVal="235"/>
    <row newVal="237" oldVal="236"/>
    <row newVal="238" oldVal="237"/>
    <row newVal="239" oldVal="238"/>
    <row newVal="240" oldVal="239"/>
    <row newVal="241" oldVal="240"/>
    <row newVal="242" oldVal="241"/>
    <row newVal="243" oldVal="242"/>
    <row newVal="244" oldVal="243"/>
    <row newVal="245" oldVal="244"/>
    <row newVal="246" oldVal="245"/>
    <row newVal="247" oldVal="246"/>
  </rowSortMap>
</worksheetSortMap>
</file>

<file path=xl/worksheets/wsSortMap3.xml><?xml version="1.0" encoding="utf-8"?>
<worksheetSortMap xmlns="http://schemas.microsoft.com/office/excel/2006/main">
  <rowSortMap ref="A14:XFD123" count="109">
    <row newVal="13" oldVal="112"/>
    <row newVal="14" oldVal="13"/>
    <row newVal="15" oldVal="14"/>
    <row newVal="16" oldVal="15"/>
    <row newVal="17" oldVal="16"/>
    <row newVal="18" oldVal="17"/>
    <row newVal="19" oldVal="18"/>
    <row newVal="20" oldVal="19"/>
    <row newVal="21" oldVal="20"/>
    <row newVal="22" oldVal="21"/>
    <row newVal="23" oldVal="22"/>
    <row newVal="24" oldVal="23"/>
    <row newVal="25" oldVal="24"/>
    <row newVal="26" oldVal="25"/>
    <row newVal="27" oldVal="26"/>
    <row newVal="28" oldVal="27"/>
    <row newVal="29" oldVal="28"/>
    <row newVal="30" oldVal="29"/>
    <row newVal="31" oldVal="30"/>
    <row newVal="32" oldVal="31"/>
    <row newVal="33" oldVal="32"/>
    <row newVal="34" oldVal="33"/>
    <row newVal="35" oldVal="113"/>
    <row newVal="36" oldVal="115"/>
    <row newVal="37" oldVal="34"/>
    <row newVal="38" oldVal="35"/>
    <row newVal="39" oldVal="36"/>
    <row newVal="40" oldVal="37"/>
    <row newVal="41" oldVal="38"/>
    <row newVal="42" oldVal="39"/>
    <row newVal="43" oldVal="40"/>
    <row newVal="44" oldVal="41"/>
    <row newVal="45" oldVal="42"/>
    <row newVal="46" oldVal="43"/>
    <row newVal="47" oldVal="44"/>
    <row newVal="48" oldVal="45"/>
    <row newVal="49" oldVal="46"/>
    <row newVal="50" oldVal="47"/>
    <row newVal="51" oldVal="48"/>
    <row newVal="52" oldVal="49"/>
    <row newVal="53" oldVal="50"/>
    <row newVal="54" oldVal="51"/>
    <row newVal="55" oldVal="52"/>
    <row newVal="56" oldVal="53"/>
    <row newVal="57" oldVal="54"/>
    <row newVal="58" oldVal="55"/>
    <row newVal="59" oldVal="122"/>
    <row newVal="60" oldVal="56"/>
    <row newVal="61" oldVal="57"/>
    <row newVal="62" oldVal="58"/>
    <row newVal="63" oldVal="59"/>
    <row newVal="64" oldVal="60"/>
    <row newVal="65" oldVal="61"/>
    <row newVal="66" oldVal="62"/>
    <row newVal="67" oldVal="63"/>
    <row newVal="68" oldVal="64"/>
    <row newVal="69" oldVal="65"/>
    <row newVal="70" oldVal="66"/>
    <row newVal="71" oldVal="67"/>
    <row newVal="72" oldVal="68"/>
    <row newVal="73" oldVal="69"/>
    <row newVal="74" oldVal="70"/>
    <row newVal="75" oldVal="71"/>
    <row newVal="76" oldVal="72"/>
    <row newVal="77" oldVal="73"/>
    <row newVal="78" oldVal="74"/>
    <row newVal="79" oldVal="75"/>
    <row newVal="80" oldVal="76"/>
    <row newVal="81" oldVal="77"/>
    <row newVal="82" oldVal="78"/>
    <row newVal="83" oldVal="79"/>
    <row newVal="84" oldVal="80"/>
    <row newVal="85" oldVal="81"/>
    <row newVal="86" oldVal="82"/>
    <row newVal="87" oldVal="83"/>
    <row newVal="88" oldVal="84"/>
    <row newVal="89" oldVal="85"/>
    <row newVal="90" oldVal="86"/>
    <row newVal="91" oldVal="87"/>
    <row newVal="92" oldVal="88"/>
    <row newVal="93" oldVal="89"/>
    <row newVal="94" oldVal="90"/>
    <row newVal="95" oldVal="91"/>
    <row newVal="96" oldVal="92"/>
    <row newVal="97" oldVal="93"/>
    <row newVal="98" oldVal="94"/>
    <row newVal="99" oldVal="95"/>
    <row newVal="100" oldVal="96"/>
    <row newVal="101" oldVal="97"/>
    <row newVal="102" oldVal="98"/>
    <row newVal="103" oldVal="99"/>
    <row newVal="104" oldVal="100"/>
    <row newVal="105" oldVal="101"/>
    <row newVal="106" oldVal="102"/>
    <row newVal="107" oldVal="105"/>
    <row newVal="108" oldVal="103"/>
    <row newVal="109" oldVal="104"/>
    <row newVal="110" oldVal="106"/>
    <row newVal="111" oldVal="107"/>
    <row newVal="112" oldVal="108"/>
    <row newVal="113" oldVal="109"/>
    <row newVal="115" oldVal="116"/>
    <row newVal="116" oldVal="117"/>
    <row newVal="117" oldVal="118"/>
    <row newVal="118" oldVal="119"/>
    <row newVal="119" oldVal="120"/>
    <row newVal="120" oldVal="121"/>
    <row newVal="121" oldVal="110"/>
    <row newVal="122" oldVal="111"/>
  </rowSortMap>
</worksheetSortMap>
</file>

<file path=xl/worksheets/wsSortMap4.xml><?xml version="1.0" encoding="utf-8"?>
<worksheetSortMap xmlns="http://schemas.microsoft.com/office/excel/2006/main">
  <rowSortMap ref="A2:XFD119" count="118">
    <row newVal="1" oldVal="118"/>
    <row newVal="2" oldVal="117"/>
    <row newVal="3" oldVal="116"/>
    <row newVal="4" oldVal="115"/>
    <row newVal="5" oldVal="114"/>
    <row newVal="6" oldVal="113"/>
    <row newVal="7" oldVal="112"/>
    <row newVal="8" oldVal="111"/>
    <row newVal="9" oldVal="110"/>
    <row newVal="10" oldVal="109"/>
    <row newVal="11" oldVal="108"/>
    <row newVal="12" oldVal="107"/>
    <row newVal="13" oldVal="106"/>
    <row newVal="14" oldVal="105"/>
    <row newVal="15" oldVal="104"/>
    <row newVal="16" oldVal="103"/>
    <row newVal="17" oldVal="102"/>
    <row newVal="18" oldVal="101"/>
    <row newVal="19" oldVal="100"/>
    <row newVal="20" oldVal="99"/>
    <row newVal="21" oldVal="98"/>
    <row newVal="22" oldVal="97"/>
    <row newVal="23" oldVal="96"/>
    <row newVal="24" oldVal="95"/>
    <row newVal="25" oldVal="94"/>
    <row newVal="26" oldVal="93"/>
    <row newVal="27" oldVal="92"/>
    <row newVal="28" oldVal="91"/>
    <row newVal="29" oldVal="90"/>
    <row newVal="30" oldVal="89"/>
    <row newVal="31" oldVal="88"/>
    <row newVal="32" oldVal="87"/>
    <row newVal="33" oldVal="86"/>
    <row newVal="34" oldVal="85"/>
    <row newVal="35" oldVal="84"/>
    <row newVal="36" oldVal="83"/>
    <row newVal="37" oldVal="82"/>
    <row newVal="38" oldVal="81"/>
    <row newVal="39" oldVal="80"/>
    <row newVal="40" oldVal="79"/>
    <row newVal="41" oldVal="78"/>
    <row newVal="42" oldVal="77"/>
    <row newVal="43" oldVal="1"/>
    <row newVal="44" oldVal="2"/>
    <row newVal="45" oldVal="3"/>
    <row newVal="46" oldVal="4"/>
    <row newVal="47" oldVal="5"/>
    <row newVal="48" oldVal="6"/>
    <row newVal="49" oldVal="7"/>
    <row newVal="50" oldVal="8"/>
    <row newVal="51" oldVal="9"/>
    <row newVal="52" oldVal="10"/>
    <row newVal="53" oldVal="11"/>
    <row newVal="54" oldVal="12"/>
    <row newVal="55" oldVal="13"/>
    <row newVal="56" oldVal="14"/>
    <row newVal="57" oldVal="15"/>
    <row newVal="58" oldVal="16"/>
    <row newVal="59" oldVal="17"/>
    <row newVal="60" oldVal="18"/>
    <row newVal="61" oldVal="19"/>
    <row newVal="62" oldVal="20"/>
    <row newVal="63" oldVal="21"/>
    <row newVal="64" oldVal="22"/>
    <row newVal="65" oldVal="23"/>
    <row newVal="66" oldVal="24"/>
    <row newVal="67" oldVal="25"/>
    <row newVal="68" oldVal="26"/>
    <row newVal="69" oldVal="27"/>
    <row newVal="70" oldVal="28"/>
    <row newVal="71" oldVal="29"/>
    <row newVal="72" oldVal="30"/>
    <row newVal="73" oldVal="31"/>
    <row newVal="74" oldVal="32"/>
    <row newVal="75" oldVal="33"/>
    <row newVal="76" oldVal="34"/>
    <row newVal="77" oldVal="35"/>
    <row newVal="78" oldVal="36"/>
    <row newVal="79" oldVal="37"/>
    <row newVal="80" oldVal="38"/>
    <row newVal="81" oldVal="39"/>
    <row newVal="82" oldVal="40"/>
    <row newVal="83" oldVal="41"/>
    <row newVal="84" oldVal="42"/>
    <row newVal="85" oldVal="43"/>
    <row newVal="86" oldVal="44"/>
    <row newVal="87" oldVal="45"/>
    <row newVal="88" oldVal="46"/>
    <row newVal="89" oldVal="47"/>
    <row newVal="90" oldVal="48"/>
    <row newVal="91" oldVal="49"/>
    <row newVal="92" oldVal="50"/>
    <row newVal="93" oldVal="51"/>
    <row newVal="94" oldVal="52"/>
    <row newVal="95" oldVal="53"/>
    <row newVal="96" oldVal="54"/>
    <row newVal="97" oldVal="55"/>
    <row newVal="98" oldVal="56"/>
    <row newVal="99" oldVal="57"/>
    <row newVal="100" oldVal="58"/>
    <row newVal="101" oldVal="59"/>
    <row newVal="102" oldVal="60"/>
    <row newVal="103" oldVal="61"/>
    <row newVal="104" oldVal="62"/>
    <row newVal="105" oldVal="63"/>
    <row newVal="106" oldVal="64"/>
    <row newVal="107" oldVal="65"/>
    <row newVal="108" oldVal="66"/>
    <row newVal="109" oldVal="67"/>
    <row newVal="110" oldVal="68"/>
    <row newVal="111" oldVal="69"/>
    <row newVal="112" oldVal="70"/>
    <row newVal="113" oldVal="71"/>
    <row newVal="114" oldVal="72"/>
    <row newVal="115" oldVal="73"/>
    <row newVal="116" oldVal="74"/>
    <row newVal="117" oldVal="75"/>
    <row newVal="118" oldVal="76"/>
  </rowSortMap>
</worksheetSortMap>
</file>

<file path=xl/worksheets/wsSortMap5.xml><?xml version="1.0" encoding="utf-8"?>
<worksheetSortMap xmlns="http://schemas.microsoft.com/office/excel/2006/main">
  <rowSortMap ref="A2:XFD125" count="118">
    <row newVal="1" oldVal="10"/>
    <row newVal="2" oldVal="113"/>
    <row newVal="3" oldVal="39"/>
    <row newVal="10" oldVal="11"/>
    <row newVal="11" oldVal="13"/>
    <row newVal="12" oldVal="16"/>
    <row newVal="13" oldVal="17"/>
    <row newVal="14" oldVal="18"/>
    <row newVal="15" oldVal="19"/>
    <row newVal="16" oldVal="20"/>
    <row newVal="17" oldVal="21"/>
    <row newVal="18" oldVal="22"/>
    <row newVal="19" oldVal="23"/>
    <row newVal="20" oldVal="25"/>
    <row newVal="21" oldVal="29"/>
    <row newVal="22" oldVal="42"/>
    <row newVal="23" oldVal="47"/>
    <row newVal="24" oldVal="15"/>
    <row newVal="25" oldVal="58"/>
    <row newVal="26" oldVal="2"/>
    <row newVal="27" oldVal="36"/>
    <row newVal="28" oldVal="1"/>
    <row newVal="29" oldVal="117"/>
    <row newVal="30" oldVal="41"/>
    <row newVal="31" oldVal="54"/>
    <row newVal="32" oldVal="55"/>
    <row newVal="33" oldVal="3"/>
    <row newVal="34" oldVal="38"/>
    <row newVal="35" oldVal="116"/>
    <row newVal="36" oldVal="12"/>
    <row newVal="37" oldVal="69"/>
    <row newVal="38" oldVal="33"/>
    <row newVal="39" oldVal="28"/>
    <row newVal="40" oldVal="14"/>
    <row newVal="41" oldVal="34"/>
    <row newVal="42" oldVal="114"/>
    <row newVal="43" oldVal="26"/>
    <row newVal="44" oldVal="32"/>
    <row newVal="45" oldVal="118"/>
    <row newVal="46" oldVal="119"/>
    <row newVal="47" oldVal="120"/>
    <row newVal="48" oldVal="121"/>
    <row newVal="49" oldVal="122"/>
    <row newVal="50" oldVal="123"/>
    <row newVal="51" oldVal="40"/>
    <row newVal="52" oldVal="27"/>
    <row newVal="53" oldVal="35"/>
    <row newVal="54" oldVal="37"/>
    <row newVal="55" oldVal="43"/>
    <row newVal="56" oldVal="44"/>
    <row newVal="57" oldVal="45"/>
    <row newVal="58" oldVal="46"/>
    <row newVal="59" oldVal="48"/>
    <row newVal="60" oldVal="49"/>
    <row newVal="61" oldVal="50"/>
    <row newVal="62" oldVal="51"/>
    <row newVal="63" oldVal="52"/>
    <row newVal="64" oldVal="53"/>
    <row newVal="65" oldVal="56"/>
    <row newVal="66" oldVal="57"/>
    <row newVal="67" oldVal="30"/>
    <row newVal="68" oldVal="97"/>
    <row newVal="69" oldVal="61"/>
    <row newVal="70" oldVal="59"/>
    <row newVal="71" oldVal="124"/>
    <row newVal="72" oldVal="24"/>
    <row newVal="73" oldVal="85"/>
    <row newVal="74" oldVal="115"/>
    <row newVal="75" oldVal="60"/>
    <row newVal="76" oldVal="62"/>
    <row newVal="77" oldVal="63"/>
    <row newVal="78" oldVal="65"/>
    <row newVal="79" oldVal="66"/>
    <row newVal="80" oldVal="67"/>
    <row newVal="81" oldVal="74"/>
    <row newVal="82" oldVal="31"/>
    <row newVal="83" oldVal="64"/>
    <row newVal="84" oldVal="79"/>
    <row newVal="85" oldVal="72"/>
    <row newVal="86" oldVal="68"/>
    <row newVal="87" oldVal="70"/>
    <row newVal="88" oldVal="84"/>
    <row newVal="89" oldVal="77"/>
    <row newVal="90" oldVal="71"/>
    <row newVal="91" oldVal="73"/>
    <row newVal="92" oldVal="75"/>
    <row newVal="93" oldVal="76"/>
    <row newVal="94" oldVal="78"/>
    <row newVal="95" oldVal="81"/>
    <row newVal="96" oldVal="80"/>
    <row newVal="97" oldVal="82"/>
    <row newVal="98" oldVal="83"/>
    <row newVal="99" oldVal="86"/>
    <row newVal="100" oldVal="87"/>
    <row newVal="101" oldVal="88"/>
    <row newVal="102" oldVal="89"/>
    <row newVal="103" oldVal="90"/>
    <row newVal="104" oldVal="91"/>
    <row newVal="105" oldVal="92"/>
    <row newVal="106" oldVal="93"/>
    <row newVal="107" oldVal="94"/>
    <row newVal="108" oldVal="95"/>
    <row newVal="109" oldVal="96"/>
    <row newVal="110" oldVal="98"/>
    <row newVal="111" oldVal="99"/>
    <row newVal="112" oldVal="100"/>
    <row newVal="113" oldVal="101"/>
    <row newVal="114" oldVal="102"/>
    <row newVal="115" oldVal="103"/>
    <row newVal="116" oldVal="104"/>
    <row newVal="117" oldVal="105"/>
    <row newVal="118" oldVal="106"/>
    <row newVal="119" oldVal="107"/>
    <row newVal="120" oldVal="108"/>
    <row newVal="121" oldVal="109"/>
    <row newVal="122" oldVal="110"/>
    <row newVal="123" oldVal="111"/>
    <row newVal="124" oldVal="112"/>
  </rowSortMap>
</worksheetSortMap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Sheet1</vt:lpstr>
      <vt:lpstr>Receive</vt:lpstr>
      <vt:lpstr>Usage</vt:lpstr>
      <vt:lpstr>Product_Manager</vt:lpstr>
      <vt:lpstr>Inventory_Detailed</vt:lpstr>
      <vt:lpstr>Inventory</vt:lpstr>
      <vt:lpstr>Inventory_Display_Consumable</vt:lpstr>
      <vt:lpstr>Inventory_Display_nonConsumable</vt:lpstr>
      <vt:lpstr>Inventory_Detailed_Display</vt:lpstr>
      <vt:lpstr>Product_Display</vt:lpstr>
      <vt:lpstr>Reorder_Display</vt:lpstr>
      <vt:lpstr>OutofStock_Display</vt:lpstr>
      <vt:lpstr>Barcode</vt:lpstr>
      <vt:lpstr>Emergency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</dc:creator>
  <cp:lastModifiedBy>Trisha Fabro</cp:lastModifiedBy>
  <cp:lastPrinted>2025-01-20T19:56:21Z</cp:lastPrinted>
  <dcterms:created xsi:type="dcterms:W3CDTF">2015-06-05T18:19:34Z</dcterms:created>
  <dcterms:modified xsi:type="dcterms:W3CDTF">2026-02-20T23:42:11Z</dcterms:modified>
</cp:coreProperties>
</file>